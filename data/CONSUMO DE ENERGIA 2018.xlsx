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240" windowHeight="12435" firstSheet="3" activeTab="3"/>
  </bookViews>
  <sheets>
    <sheet name="ENERO 2018" sheetId="1" r:id="rId1"/>
    <sheet name="FEBRERO 2018 " sheetId="2" r:id="rId2"/>
    <sheet name="MARZO 2018" sheetId="3" r:id="rId3"/>
    <sheet name="ABRIL 2018" sheetId="4" r:id="rId4"/>
    <sheet name="MAYO 2018" sheetId="5" r:id="rId5"/>
    <sheet name="JUNIO 2018" sheetId="6" r:id="rId6"/>
    <sheet name="JULIO 2018" sheetId="7" r:id="rId7"/>
    <sheet name="AGOSTO 2018" sheetId="8" r:id="rId8"/>
    <sheet name="SEPTIEMBRE 2018" sheetId="9" r:id="rId9"/>
    <sheet name="OCTUBRE 2018" sheetId="10" r:id="rId10"/>
    <sheet name="NOVIEMBRE 2018 " sheetId="11" r:id="rId11"/>
  </sheets>
  <externalReferences>
    <externalReference r:id="rId12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7" i="11" l="1"/>
  <c r="I66" i="11"/>
  <c r="F65" i="11"/>
  <c r="E65" i="11"/>
  <c r="I69" i="11" l="1"/>
  <c r="I75" i="11" s="1"/>
  <c r="I73" i="10"/>
  <c r="I67" i="10"/>
  <c r="I66" i="10"/>
  <c r="F65" i="10"/>
  <c r="E65" i="10"/>
  <c r="I73" i="9"/>
  <c r="I67" i="9"/>
  <c r="I66" i="9"/>
  <c r="F65" i="9"/>
  <c r="E65" i="9"/>
  <c r="I73" i="8"/>
  <c r="I69" i="8"/>
  <c r="I67" i="8"/>
  <c r="I66" i="8"/>
  <c r="F65" i="8"/>
  <c r="E65" i="8"/>
  <c r="I69" i="7"/>
  <c r="I68" i="7"/>
  <c r="I71" i="7" s="1"/>
  <c r="F67" i="7"/>
  <c r="E67" i="7"/>
  <c r="I68" i="6"/>
  <c r="I67" i="6"/>
  <c r="I70" i="6" s="1"/>
  <c r="E26" i="6"/>
  <c r="E66" i="6" s="1"/>
  <c r="I73" i="5"/>
  <c r="I72" i="5"/>
  <c r="I71" i="5"/>
  <c r="I74" i="5" s="1"/>
  <c r="E68" i="5"/>
  <c r="I67" i="4"/>
  <c r="I66" i="4"/>
  <c r="E26" i="4"/>
  <c r="E12" i="4"/>
  <c r="E64" i="4" s="1"/>
  <c r="J69" i="3"/>
  <c r="J68" i="3"/>
  <c r="J67" i="3"/>
  <c r="J66" i="3"/>
  <c r="F64" i="3"/>
  <c r="F61" i="3"/>
  <c r="F55" i="3"/>
  <c r="F48" i="3"/>
  <c r="F45" i="3"/>
  <c r="F39" i="3"/>
  <c r="F36" i="3"/>
  <c r="F35" i="3"/>
  <c r="F12" i="3"/>
  <c r="J67" i="2"/>
  <c r="J64" i="2"/>
  <c r="J66" i="2" s="1"/>
  <c r="J68" i="2" s="1"/>
  <c r="H64" i="2"/>
  <c r="G64" i="2"/>
  <c r="F63" i="2"/>
  <c r="F60" i="2"/>
  <c r="F55" i="2"/>
  <c r="F51" i="2"/>
  <c r="F49" i="2"/>
  <c r="F48" i="2"/>
  <c r="F45" i="2"/>
  <c r="F44" i="2"/>
  <c r="F43" i="2"/>
  <c r="F42" i="2"/>
  <c r="F41" i="2"/>
  <c r="F38" i="2"/>
  <c r="F37" i="2"/>
  <c r="F26" i="2"/>
  <c r="F25" i="2"/>
  <c r="F24" i="2"/>
  <c r="F23" i="2"/>
  <c r="F22" i="2"/>
  <c r="F21" i="2"/>
  <c r="F20" i="2"/>
  <c r="F19" i="2"/>
  <c r="F12" i="2"/>
  <c r="F64" i="2" s="1"/>
  <c r="F9" i="2"/>
  <c r="J60" i="1"/>
  <c r="K59" i="1"/>
  <c r="H59" i="1"/>
  <c r="I59" i="1" s="1"/>
  <c r="L58" i="1"/>
  <c r="K58" i="1"/>
  <c r="H58" i="1"/>
  <c r="I58" i="1" s="1"/>
  <c r="M58" i="1" s="1"/>
  <c r="M57" i="1"/>
  <c r="K57" i="1"/>
  <c r="H57" i="1"/>
  <c r="I57" i="1" s="1"/>
  <c r="K56" i="1"/>
  <c r="I56" i="1"/>
  <c r="H56" i="1"/>
  <c r="K55" i="1"/>
  <c r="H55" i="1"/>
  <c r="I55" i="1" s="1"/>
  <c r="L54" i="1"/>
  <c r="K54" i="1"/>
  <c r="H54" i="1"/>
  <c r="I54" i="1" s="1"/>
  <c r="M54" i="1" s="1"/>
  <c r="M53" i="1"/>
  <c r="K53" i="1"/>
  <c r="L53" i="1" s="1"/>
  <c r="H53" i="1"/>
  <c r="I53" i="1" s="1"/>
  <c r="K52" i="1"/>
  <c r="I52" i="1"/>
  <c r="H52" i="1"/>
  <c r="K51" i="1"/>
  <c r="H51" i="1"/>
  <c r="I51" i="1" s="1"/>
  <c r="M50" i="1"/>
  <c r="L50" i="1"/>
  <c r="H50" i="1"/>
  <c r="I50" i="1" s="1"/>
  <c r="M49" i="1"/>
  <c r="L49" i="1"/>
  <c r="K49" i="1"/>
  <c r="H49" i="1"/>
  <c r="I49" i="1" s="1"/>
  <c r="K48" i="1"/>
  <c r="L48" i="1" s="1"/>
  <c r="I48" i="1"/>
  <c r="M48" i="1" s="1"/>
  <c r="H48" i="1"/>
  <c r="K47" i="1"/>
  <c r="I47" i="1"/>
  <c r="H47" i="1"/>
  <c r="K46" i="1"/>
  <c r="M46" i="1" s="1"/>
  <c r="I46" i="1"/>
  <c r="L45" i="1"/>
  <c r="I45" i="1"/>
  <c r="M45" i="1" s="1"/>
  <c r="H45" i="1"/>
  <c r="K44" i="1"/>
  <c r="M44" i="1" s="1"/>
  <c r="H44" i="1"/>
  <c r="I44" i="1" s="1"/>
  <c r="M43" i="1"/>
  <c r="L43" i="1"/>
  <c r="K43" i="1"/>
  <c r="H43" i="1"/>
  <c r="I43" i="1" s="1"/>
  <c r="K42" i="1"/>
  <c r="L42" i="1" s="1"/>
  <c r="I42" i="1"/>
  <c r="M42" i="1" s="1"/>
  <c r="H42" i="1"/>
  <c r="K41" i="1"/>
  <c r="I41" i="1"/>
  <c r="H41" i="1"/>
  <c r="K40" i="1"/>
  <c r="H40" i="1"/>
  <c r="I40" i="1" s="1"/>
  <c r="M39" i="1"/>
  <c r="K39" i="1"/>
  <c r="H39" i="1"/>
  <c r="I39" i="1" s="1"/>
  <c r="K38" i="1"/>
  <c r="H38" i="1"/>
  <c r="I38" i="1" s="1"/>
  <c r="M38" i="1" s="1"/>
  <c r="K37" i="1"/>
  <c r="I37" i="1"/>
  <c r="H37" i="1"/>
  <c r="K36" i="1"/>
  <c r="M36" i="1" s="1"/>
  <c r="H36" i="1"/>
  <c r="I36" i="1" s="1"/>
  <c r="M35" i="1"/>
  <c r="L35" i="1"/>
  <c r="K35" i="1"/>
  <c r="H35" i="1"/>
  <c r="I35" i="1" s="1"/>
  <c r="K34" i="1"/>
  <c r="L34" i="1" s="1"/>
  <c r="I34" i="1"/>
  <c r="M34" i="1" s="1"/>
  <c r="H34" i="1"/>
  <c r="K33" i="1"/>
  <c r="I33" i="1"/>
  <c r="H33" i="1"/>
  <c r="K32" i="1"/>
  <c r="H32" i="1"/>
  <c r="I32" i="1" s="1"/>
  <c r="M31" i="1"/>
  <c r="K31" i="1"/>
  <c r="H31" i="1"/>
  <c r="I31" i="1" s="1"/>
  <c r="K30" i="1"/>
  <c r="H30" i="1"/>
  <c r="I30" i="1" s="1"/>
  <c r="M30" i="1" s="1"/>
  <c r="K29" i="1"/>
  <c r="I29" i="1"/>
  <c r="H29" i="1"/>
  <c r="K28" i="1"/>
  <c r="M28" i="1" s="1"/>
  <c r="H28" i="1"/>
  <c r="I28" i="1" s="1"/>
  <c r="M27" i="1"/>
  <c r="L27" i="1"/>
  <c r="K27" i="1"/>
  <c r="H27" i="1"/>
  <c r="I27" i="1" s="1"/>
  <c r="K26" i="1"/>
  <c r="L26" i="1" s="1"/>
  <c r="I26" i="1"/>
  <c r="M26" i="1" s="1"/>
  <c r="H26" i="1"/>
  <c r="K25" i="1"/>
  <c r="I25" i="1"/>
  <c r="H25" i="1"/>
  <c r="K24" i="1"/>
  <c r="H24" i="1"/>
  <c r="I24" i="1" s="1"/>
  <c r="M23" i="1"/>
  <c r="K23" i="1"/>
  <c r="H23" i="1"/>
  <c r="I23" i="1" s="1"/>
  <c r="K22" i="1"/>
  <c r="H22" i="1"/>
  <c r="I22" i="1" s="1"/>
  <c r="M22" i="1" s="1"/>
  <c r="K21" i="1"/>
  <c r="I21" i="1"/>
  <c r="K20" i="1"/>
  <c r="I20" i="1"/>
  <c r="H20" i="1"/>
  <c r="K19" i="1"/>
  <c r="H19" i="1"/>
  <c r="I19" i="1" s="1"/>
  <c r="M18" i="1"/>
  <c r="L18" i="1"/>
  <c r="K18" i="1"/>
  <c r="I18" i="1"/>
  <c r="M17" i="1"/>
  <c r="K17" i="1"/>
  <c r="H17" i="1"/>
  <c r="I17" i="1" s="1"/>
  <c r="K16" i="1"/>
  <c r="H16" i="1"/>
  <c r="I16" i="1" s="1"/>
  <c r="M16" i="1" s="1"/>
  <c r="K15" i="1"/>
  <c r="I15" i="1"/>
  <c r="H15" i="1"/>
  <c r="K14" i="1"/>
  <c r="M14" i="1" s="1"/>
  <c r="H14" i="1"/>
  <c r="I14" i="1" s="1"/>
  <c r="M13" i="1"/>
  <c r="L13" i="1"/>
  <c r="K13" i="1"/>
  <c r="H13" i="1"/>
  <c r="I13" i="1" s="1"/>
  <c r="K12" i="1"/>
  <c r="L12" i="1" s="1"/>
  <c r="I12" i="1"/>
  <c r="M12" i="1" s="1"/>
  <c r="H12" i="1"/>
  <c r="K11" i="1"/>
  <c r="I11" i="1"/>
  <c r="H11" i="1"/>
  <c r="K10" i="1"/>
  <c r="H10" i="1"/>
  <c r="I10" i="1" s="1"/>
  <c r="M9" i="1"/>
  <c r="K9" i="1"/>
  <c r="H9" i="1"/>
  <c r="I9" i="1" s="1"/>
  <c r="K8" i="1"/>
  <c r="H8" i="1"/>
  <c r="I8" i="1" s="1"/>
  <c r="M8" i="1" s="1"/>
  <c r="K7" i="1"/>
  <c r="I7" i="1"/>
  <c r="H7" i="1"/>
  <c r="I74" i="11" l="1"/>
  <c r="I69" i="10"/>
  <c r="I74" i="10" s="1"/>
  <c r="I69" i="9"/>
  <c r="I74" i="9" s="1"/>
  <c r="I75" i="8"/>
  <c r="I68" i="4"/>
  <c r="I69" i="4" s="1"/>
  <c r="I71" i="4" s="1"/>
  <c r="F66" i="6"/>
  <c r="I74" i="8"/>
  <c r="M7" i="1"/>
  <c r="L7" i="1"/>
  <c r="M15" i="1"/>
  <c r="L15" i="1"/>
  <c r="M21" i="1"/>
  <c r="L21" i="1"/>
  <c r="M29" i="1"/>
  <c r="L29" i="1"/>
  <c r="M37" i="1"/>
  <c r="L37" i="1"/>
  <c r="L14" i="1"/>
  <c r="L28" i="1"/>
  <c r="L36" i="1"/>
  <c r="L44" i="1"/>
  <c r="M56" i="1"/>
  <c r="M59" i="1"/>
  <c r="L59" i="1"/>
  <c r="M10" i="1"/>
  <c r="M11" i="1"/>
  <c r="L11" i="1"/>
  <c r="M19" i="1"/>
  <c r="M20" i="1"/>
  <c r="L20" i="1"/>
  <c r="M24" i="1"/>
  <c r="M25" i="1"/>
  <c r="L25" i="1"/>
  <c r="M32" i="1"/>
  <c r="M33" i="1"/>
  <c r="L33" i="1"/>
  <c r="M40" i="1"/>
  <c r="M41" i="1"/>
  <c r="L41" i="1"/>
  <c r="M47" i="1"/>
  <c r="L47" i="1"/>
  <c r="M52" i="1"/>
  <c r="M55" i="1"/>
  <c r="L55" i="1"/>
  <c r="L8" i="1"/>
  <c r="L9" i="1"/>
  <c r="L10" i="1"/>
  <c r="L16" i="1"/>
  <c r="L17" i="1"/>
  <c r="L19" i="1"/>
  <c r="L22" i="1"/>
  <c r="L23" i="1"/>
  <c r="L24" i="1"/>
  <c r="L30" i="1"/>
  <c r="L31" i="1"/>
  <c r="L32" i="1"/>
  <c r="L38" i="1"/>
  <c r="L39" i="1"/>
  <c r="L40" i="1"/>
  <c r="L46" i="1"/>
  <c r="M51" i="1"/>
  <c r="L51" i="1"/>
  <c r="L57" i="1"/>
  <c r="L52" i="1"/>
  <c r="L56" i="1"/>
  <c r="I75" i="10" l="1"/>
  <c r="I75" i="9"/>
  <c r="L60" i="1"/>
  <c r="M60" i="1"/>
</calcChain>
</file>

<file path=xl/comments1.xml><?xml version="1.0" encoding="utf-8"?>
<comments xmlns="http://schemas.openxmlformats.org/spreadsheetml/2006/main">
  <authors>
    <author>GHIPS</author>
  </authors>
  <commentList>
    <comment ref="I27" authorId="0">
      <text>
        <r>
          <rPr>
            <b/>
            <sz val="9"/>
            <color indexed="81"/>
            <rFont val="Tahoma"/>
            <family val="2"/>
          </rPr>
          <t>Impuesto Alumbrado Público.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GHIPS</author>
  </authors>
  <commentList>
    <comment ref="I27" authorId="0">
      <text>
        <r>
          <rPr>
            <b/>
            <sz val="9"/>
            <color indexed="81"/>
            <rFont val="Tahoma"/>
            <family val="2"/>
          </rPr>
          <t>Impuesto Alumbrado Público.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GHIPS</author>
  </authors>
  <commentList>
    <comment ref="I27" authorId="0">
      <text>
        <r>
          <rPr>
            <b/>
            <sz val="9"/>
            <color indexed="81"/>
            <rFont val="Tahoma"/>
            <family val="2"/>
          </rPr>
          <t>Impuesto Alumbrado Público.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GHIPS</author>
  </authors>
  <commentList>
    <comment ref="I28" authorId="0">
      <text>
        <r>
          <rPr>
            <b/>
            <sz val="9"/>
            <color indexed="81"/>
            <rFont val="Tahoma"/>
            <family val="2"/>
          </rPr>
          <t>Impuesto Alumbrado Público.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9" authorId="0">
      <text>
        <r>
          <rPr>
            <b/>
            <sz val="9"/>
            <color indexed="81"/>
            <rFont val="Tahoma"/>
            <family val="2"/>
          </rPr>
          <t xml:space="preserve">Subtotal otras entidades:
Imp alumbrado publico: 106,000
Tasa seg conv ciu 391,518,82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GHIPS</author>
  </authors>
  <commentList>
    <comment ref="G35" authorId="0">
      <text>
        <r>
          <rPr>
            <b/>
            <sz val="9"/>
            <color indexed="81"/>
            <rFont val="Tahoma"/>
            <family val="2"/>
          </rPr>
          <t xml:space="preserve">Intereses de mora
</t>
        </r>
      </text>
    </comment>
    <comment ref="G58" authorId="0">
      <text>
        <r>
          <rPr>
            <b/>
            <sz val="9"/>
            <color indexed="81"/>
            <rFont val="Tahoma"/>
            <family val="2"/>
          </rPr>
          <t xml:space="preserve">Subtotal otras entidades:
Imp alumbrado publico: 106,000
Tasa seg conv ciu 391,518,82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GHIPS</author>
  </authors>
  <commentList>
    <comment ref="G35" authorId="0">
      <text>
        <r>
          <rPr>
            <b/>
            <sz val="9"/>
            <color indexed="81"/>
            <rFont val="Tahoma"/>
            <family val="2"/>
          </rPr>
          <t xml:space="preserve">Intereses de mora
</t>
        </r>
      </text>
    </comment>
    <comment ref="G58" authorId="0">
      <text>
        <r>
          <rPr>
            <b/>
            <sz val="9"/>
            <color indexed="81"/>
            <rFont val="Tahoma"/>
            <family val="2"/>
          </rPr>
          <t xml:space="preserve">Subtotal otras entidades:
Imp alumbrado publico: 106,000
Tasa seg conv ciu 391,518,82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GHIPS</author>
  </authors>
  <commentList>
    <comment ref="G35" authorId="0">
      <text>
        <r>
          <rPr>
            <b/>
            <sz val="9"/>
            <color indexed="81"/>
            <rFont val="Tahoma"/>
            <family val="2"/>
          </rPr>
          <t xml:space="preserve">Intereses de mora
</t>
        </r>
      </text>
    </comment>
    <comment ref="G58" authorId="0">
      <text>
        <r>
          <rPr>
            <b/>
            <sz val="9"/>
            <color indexed="81"/>
            <rFont val="Tahoma"/>
            <family val="2"/>
          </rPr>
          <t xml:space="preserve">Subtotal otras entidades:
Imp alumbrado publico: 106,000
Tasa seg conv ciu 391,518,82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GHIPS</author>
  </authors>
  <commentList>
    <comment ref="G36" authorId="0">
      <text>
        <r>
          <rPr>
            <b/>
            <sz val="9"/>
            <color indexed="81"/>
            <rFont val="Tahoma"/>
            <family val="2"/>
          </rPr>
          <t xml:space="preserve">Intereses de mora
</t>
        </r>
      </text>
    </comment>
    <comment ref="G59" authorId="0">
      <text>
        <r>
          <rPr>
            <b/>
            <sz val="9"/>
            <color indexed="81"/>
            <rFont val="Tahoma"/>
            <family val="2"/>
          </rPr>
          <t xml:space="preserve">Subtotal otras entidades:
Imp alumbrado publico: 106,000
Tasa seg conv ciu 391,518,82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<sst xmlns="http://schemas.openxmlformats.org/spreadsheetml/2006/main" count="2301" uniqueCount="270">
  <si>
    <t>PROVEEDOR:</t>
  </si>
  <si>
    <t>ELECTRICARIBE</t>
  </si>
  <si>
    <t>PERIODO:</t>
  </si>
  <si>
    <t>SEDES</t>
  </si>
  <si>
    <t>DIRECCIÓN</t>
  </si>
  <si>
    <t>NIC</t>
  </si>
  <si>
    <t>PERIODO</t>
  </si>
  <si>
    <t>CONSUMO</t>
  </si>
  <si>
    <t xml:space="preserve">TOTAL DÍAS FACTURADOS </t>
  </si>
  <si>
    <t>DIAS IPS UNIVER</t>
  </si>
  <si>
    <t xml:space="preserve">DIAS MI RED B.QUILLA </t>
  </si>
  <si>
    <t>Vr. TOTAL</t>
  </si>
  <si>
    <t>VALOR DIA</t>
  </si>
  <si>
    <t xml:space="preserve">VALOR IPS UNIVERSITARIA </t>
  </si>
  <si>
    <t>VALOR MIRED IPS B.QUILLA</t>
  </si>
  <si>
    <t>Desde</t>
  </si>
  <si>
    <t>Hasta</t>
  </si>
  <si>
    <t>(kWh)</t>
  </si>
  <si>
    <t>Hospital General de Barranquilla 1</t>
  </si>
  <si>
    <t>Calle 33 N° 33 -19</t>
  </si>
  <si>
    <t>Hospital General de Barranquilla 2</t>
  </si>
  <si>
    <t>Hospital General de Barranquilla 3</t>
  </si>
  <si>
    <t>Hospital General de Barranquilla 4</t>
  </si>
  <si>
    <t>Hospital Nazareth 1</t>
  </si>
  <si>
    <t>Carrera 16 N° 47 B 00</t>
  </si>
  <si>
    <t>Hospital Nazareth 2</t>
  </si>
  <si>
    <t>Hospital Nazareth 3</t>
  </si>
  <si>
    <t>Hospital Nazareth 4</t>
  </si>
  <si>
    <t>Hospital Nazareth 5</t>
  </si>
  <si>
    <t>Hospital Nazareth 6</t>
  </si>
  <si>
    <t>Camino La Manga</t>
  </si>
  <si>
    <t>Carrera 21 dg 78-55</t>
  </si>
  <si>
    <t>Camino Simón Bolivar</t>
  </si>
  <si>
    <t>Calle 23 Nº 5-50</t>
  </si>
  <si>
    <t>Camino Metropolitano</t>
  </si>
  <si>
    <t>Calle 68 Nº 2 sur- 119</t>
  </si>
  <si>
    <t>Camino Bosques de María</t>
  </si>
  <si>
    <t>Calle 64 Nº 9 D-62</t>
  </si>
  <si>
    <t>Camino Suroccidente</t>
  </si>
  <si>
    <t>Carrera 12 Nº 117 Esquina</t>
  </si>
  <si>
    <t>Camino U. D. Adelita de Char</t>
  </si>
  <si>
    <t xml:space="preserve">Calle 50 Nº 20-91 </t>
  </si>
  <si>
    <t>Camino Murillo</t>
  </si>
  <si>
    <t xml:space="preserve">Calle 45 Nº 8H-48 </t>
  </si>
  <si>
    <t>Camino La Luz Chinita 1</t>
  </si>
  <si>
    <t>Carrera 17B #12-39</t>
  </si>
  <si>
    <t>Camino La Luz Chinita 2</t>
  </si>
  <si>
    <t>Carrera 17B 12-49</t>
  </si>
  <si>
    <t>PASO  Alfonso López</t>
  </si>
  <si>
    <t>Carrera 24 # 47 C-04</t>
  </si>
  <si>
    <t>PASO Barlovento</t>
  </si>
  <si>
    <t>Carrera 50 # 9-41</t>
  </si>
  <si>
    <t>PASO Julio Montes</t>
  </si>
  <si>
    <t>Carrera 23 # 27-16</t>
  </si>
  <si>
    <t>PASO La Chinita</t>
  </si>
  <si>
    <t>Calle 17 # 12-20</t>
  </si>
  <si>
    <t>PASO La Luz</t>
  </si>
  <si>
    <t>Carrera 23 # 11-19</t>
  </si>
  <si>
    <t>PASO La Playa</t>
  </si>
  <si>
    <t>Carrera 12 # 13-09</t>
  </si>
  <si>
    <t>PASO Las Flores</t>
  </si>
  <si>
    <t>Via 40 # 107-15</t>
  </si>
  <si>
    <t>PASO Las Nieves</t>
  </si>
  <si>
    <t>Carrera14 N° 24-96</t>
  </si>
  <si>
    <t>PASO Pasadena</t>
  </si>
  <si>
    <t>Carrera 7C #12A-46</t>
  </si>
  <si>
    <t>PASO Primero de Mayo</t>
  </si>
  <si>
    <t>Cra 7B # 5-05</t>
  </si>
  <si>
    <t>PASO Rebolo</t>
  </si>
  <si>
    <t>Calle 16 # 29-44</t>
  </si>
  <si>
    <t>PASO San Salvador</t>
  </si>
  <si>
    <t>Calle 84 80-29</t>
  </si>
  <si>
    <t>PASO Villanueva</t>
  </si>
  <si>
    <t>Calle 2 B # 41-223</t>
  </si>
  <si>
    <t>PASO Carlos Meisel I</t>
  </si>
  <si>
    <t>Calle 74 # 24C-29</t>
  </si>
  <si>
    <t>PASO Juan Mina</t>
  </si>
  <si>
    <t>Calle 7 # 6-33</t>
  </si>
  <si>
    <t>PASO La Villa</t>
  </si>
  <si>
    <t>Calle 94 Cra 6 G- 55</t>
  </si>
  <si>
    <t>PASO La Pradera</t>
  </si>
  <si>
    <t>Carrera 31 N° 113-51</t>
  </si>
  <si>
    <t>PASO Las Malvinas</t>
  </si>
  <si>
    <t>Calle 99 C N° 9 C- 33</t>
  </si>
  <si>
    <t>PASO Nuevo Esmeralda Lipaya</t>
  </si>
  <si>
    <t>Carrera 15D # 73 B-16</t>
  </si>
  <si>
    <t>PASO Nueva Colombia</t>
  </si>
  <si>
    <t>Calle 75 # 21B-04</t>
  </si>
  <si>
    <t>PASO Universal</t>
  </si>
  <si>
    <t>Calle 96 Kra 1g esquina</t>
  </si>
  <si>
    <t xml:space="preserve">PASO Nueva Era </t>
  </si>
  <si>
    <t>Cra 27 N° 83- 116</t>
  </si>
  <si>
    <t xml:space="preserve">PASO Buena Esperanza </t>
  </si>
  <si>
    <t>Cra 16 A N° 63C-120</t>
  </si>
  <si>
    <t>PASO Carrizal</t>
  </si>
  <si>
    <t>Carrera 4 N° 49 E-15</t>
  </si>
  <si>
    <t>PASO Carlos Meisel II</t>
  </si>
  <si>
    <t>Calle 73 N° 25B-06</t>
  </si>
  <si>
    <t>No emitida</t>
  </si>
  <si>
    <t xml:space="preserve">PASO Nueva Vida </t>
  </si>
  <si>
    <t>Calle 49 N° 8B Sur 35</t>
  </si>
  <si>
    <t>PASO Galán</t>
  </si>
  <si>
    <t>Cra 2B N° 36B-55</t>
  </si>
  <si>
    <t>PASO La Sierrita</t>
  </si>
  <si>
    <t>Calle 74 N° 5E-01</t>
  </si>
  <si>
    <t>PASO San Felipe</t>
  </si>
  <si>
    <t>Calle 68 Carrera 24C Esquina</t>
  </si>
  <si>
    <t xml:space="preserve">PASO San José </t>
  </si>
  <si>
    <t>Cra 21B N° 39-09</t>
  </si>
  <si>
    <t>PASO Santo Domingo</t>
  </si>
  <si>
    <t>Calle 53 N° 3A-22</t>
  </si>
  <si>
    <t>PASO Villate</t>
  </si>
  <si>
    <t>Calle 64 Carrera 15 Esquina</t>
  </si>
  <si>
    <t>PASO Las Palmas</t>
  </si>
  <si>
    <t>Cra 7 D N° 34- 55</t>
  </si>
  <si>
    <t>PASO Rosour</t>
  </si>
  <si>
    <t>Calle 98 N° 9G-10</t>
  </si>
  <si>
    <t xml:space="preserve">TOTALES </t>
  </si>
  <si>
    <t>COSTO POR SERVICIOS PÚBLICOS DE ENERGÍA ELÉCTRICA</t>
  </si>
  <si>
    <t xml:space="preserve"> PROVEEDOR:</t>
  </si>
  <si>
    <t>Electricaribe S.A. E.S.P.</t>
  </si>
  <si>
    <t xml:space="preserve"> RADICACIÓN:</t>
  </si>
  <si>
    <t xml:space="preserve"> 08 de Marzo de 2018</t>
  </si>
  <si>
    <t xml:space="preserve"> PERIODO:</t>
  </si>
  <si>
    <t>Febrero de 2018</t>
  </si>
  <si>
    <t xml:space="preserve"> RAD. CORREO:</t>
  </si>
  <si>
    <t xml:space="preserve">ASUNTO: </t>
  </si>
  <si>
    <t xml:space="preserve"> FX ELECTRICARIBE MES DE FEBRERO DE 2018</t>
  </si>
  <si>
    <t xml:space="preserve"> SERVICIO:</t>
  </si>
  <si>
    <t>Energía Eléctrica.</t>
  </si>
  <si>
    <r>
      <rPr>
        <b/>
        <sz val="9"/>
        <color theme="1"/>
        <rFont val="Century Gothic"/>
        <family val="2"/>
      </rPr>
      <t xml:space="preserve">MAIL: </t>
    </r>
    <r>
      <rPr>
        <sz val="9"/>
        <color theme="1"/>
        <rFont val="Arial"/>
        <family val="2"/>
      </rPr>
      <t/>
    </r>
  </si>
  <si>
    <r>
      <t xml:space="preserve"> documentalmiredips@gmail.com   </t>
    </r>
    <r>
      <rPr>
        <b/>
        <sz val="9"/>
        <color theme="1"/>
        <rFont val="Century Gothic"/>
        <family val="2"/>
      </rPr>
      <t>FECHA ENVÍO:</t>
    </r>
    <r>
      <rPr>
        <sz val="9"/>
        <color theme="1"/>
        <rFont val="Century Gothic"/>
        <family val="2"/>
      </rPr>
      <t xml:space="preserve"> 08/03/2018</t>
    </r>
  </si>
  <si>
    <t>TARIFA</t>
  </si>
  <si>
    <t>INTERESES POR MORA</t>
  </si>
  <si>
    <t>CALCULO</t>
  </si>
  <si>
    <t>Medición</t>
  </si>
  <si>
    <t>Estimado</t>
  </si>
  <si>
    <t>C.A.M.I.N.O. La Manga</t>
  </si>
  <si>
    <t>C.A.M.I.N.O. Simón Bolivar</t>
  </si>
  <si>
    <t>C.A.M.I.N.O. Metropolitano</t>
  </si>
  <si>
    <t>C.A.M.I.N.O. Bosques de María</t>
  </si>
  <si>
    <t>C.A.M.I.N.O. Suroccidente</t>
  </si>
  <si>
    <t>C.A.M.I.N.O. U. D. Adelita de Char</t>
  </si>
  <si>
    <t>C.A.M.I.N.O. Murillo</t>
  </si>
  <si>
    <t>C.A.M.I.N.O. La Luz Chinita 1</t>
  </si>
  <si>
    <t>C.A.M.I.N.O. La Luz Chinita 2</t>
  </si>
  <si>
    <t>P.A.S.O.  Alfonso López</t>
  </si>
  <si>
    <t>P.A.S.O. Barlovento</t>
  </si>
  <si>
    <t>P.A.S.O. Julio Montes</t>
  </si>
  <si>
    <t>P.A.S.O. La Chinita</t>
  </si>
  <si>
    <t>P.A.S.O. La Luz</t>
  </si>
  <si>
    <t>P.A.S.O. La Playa</t>
  </si>
  <si>
    <t>P.A.S.O. Las Flores</t>
  </si>
  <si>
    <t>P.A.S.O. Las Nieves</t>
  </si>
  <si>
    <t>P.A.S.O. Pasadena</t>
  </si>
  <si>
    <t>P.A.S.O. Primero de Mayo</t>
  </si>
  <si>
    <t>P.A.S.O. Rebolo</t>
  </si>
  <si>
    <t>P.A.S.O. San Salvador</t>
  </si>
  <si>
    <t>P.A.S.O. Villanueva</t>
  </si>
  <si>
    <t>P.A.S.O. Carlos Meisel I</t>
  </si>
  <si>
    <t>P.A.S.O. Juan Mina</t>
  </si>
  <si>
    <t>P.A.S.O. La Villa</t>
  </si>
  <si>
    <t>P.A.S.O. La Pradera</t>
  </si>
  <si>
    <t>P.A.S.O. Las Malvinas</t>
  </si>
  <si>
    <t>P.A.S.O. Nuevo Esmeralda Lipaya</t>
  </si>
  <si>
    <t>P.A.S.O. Nueva Colombia</t>
  </si>
  <si>
    <t>P.A.S.O. Universal</t>
  </si>
  <si>
    <t xml:space="preserve">P.A.S.O. Nueva Era </t>
  </si>
  <si>
    <t xml:space="preserve">P.A.S.O. Buena Esperanza </t>
  </si>
  <si>
    <t>P.A.S.O. Carrizal</t>
  </si>
  <si>
    <t>P.A.S.O. Carlos Meisel II</t>
  </si>
  <si>
    <t>/</t>
  </si>
  <si>
    <t xml:space="preserve">P.A.S.O. Nueva Vida </t>
  </si>
  <si>
    <t>P.A.S.O. Galán</t>
  </si>
  <si>
    <t>P.A.S.O. La Sierrita</t>
  </si>
  <si>
    <t>P.A.S.O. San Felipe</t>
  </si>
  <si>
    <t xml:space="preserve">P.A.S.O. San José </t>
  </si>
  <si>
    <t>P.A.S.O. Santo Domingo</t>
  </si>
  <si>
    <t>P.A.S.O. Villate</t>
  </si>
  <si>
    <t>P.A.S.O. Las Palmas</t>
  </si>
  <si>
    <t>P.A.S.O. Rosour</t>
  </si>
  <si>
    <r>
      <rPr>
        <b/>
        <sz val="9"/>
        <color theme="1"/>
        <rFont val="Century Gothic"/>
        <family val="2"/>
      </rPr>
      <t xml:space="preserve">ACLARACIÓN: </t>
    </r>
    <r>
      <rPr>
        <sz val="9"/>
        <color theme="1"/>
        <rFont val="Century Gothic"/>
        <family val="2"/>
      </rPr>
      <t>EL P.A.S.O. CARLOS MEISSEL I, PRESENTA CONSUMO SIENDO UNA SEDE CERRADA QUE A LA FECHA NO HACE PARTE DE LA RED PÚBLICA DE SALUD. SE ENVIARÁ OFICIO A ELECTRICARIBE DEVOLVIENDO LA FACTURA Y REPORTANDO LA NOVEDAD.</t>
    </r>
  </si>
  <si>
    <t>SUBTOTAL</t>
  </si>
  <si>
    <t>VALOR CONSUMO - P.A.S.O. CARLOS MEISSEL</t>
  </si>
  <si>
    <t>VALOR TOTAL AVALADO
(Descontando P.A.S.O. Carlos Meissel I)</t>
  </si>
  <si>
    <t>Revisó:</t>
  </si>
  <si>
    <t>CARLOS ALBERTO LARA PATIÑO</t>
  </si>
  <si>
    <t>Gestión Ambiental - MiRed Barranquilla IPS S.A.S.</t>
  </si>
  <si>
    <t>10 de abril de 2018</t>
  </si>
  <si>
    <t>Marzo de 2018</t>
  </si>
  <si>
    <t xml:space="preserve"> ASUNTO: </t>
  </si>
  <si>
    <t xml:space="preserve"> FX ELECTRICARIBE MES DE MARZO DE 2018</t>
  </si>
  <si>
    <r>
      <rPr>
        <b/>
        <sz val="9"/>
        <color theme="1"/>
        <rFont val="Century Gothic"/>
        <family val="2"/>
      </rPr>
      <t xml:space="preserve"> MAIL: </t>
    </r>
    <r>
      <rPr>
        <sz val="9"/>
        <color theme="1"/>
        <rFont val="Arial"/>
        <family val="2"/>
      </rPr>
      <t/>
    </r>
  </si>
  <si>
    <r>
      <t xml:space="preserve"> documentalmiredips@gmail.com   </t>
    </r>
    <r>
      <rPr>
        <b/>
        <sz val="9"/>
        <color theme="1"/>
        <rFont val="Century Gothic"/>
        <family val="2"/>
      </rPr>
      <t>FECHA ENVÍO:</t>
    </r>
    <r>
      <rPr>
        <sz val="9"/>
        <color theme="1"/>
        <rFont val="Century Gothic"/>
        <family val="2"/>
      </rPr>
      <t xml:space="preserve"> 10/04/2018</t>
    </r>
  </si>
  <si>
    <t>Real</t>
  </si>
  <si>
    <t>1202/2018</t>
  </si>
  <si>
    <t>P.A.S.O. Esmeralda Lipaya</t>
  </si>
  <si>
    <t>32/02/2018</t>
  </si>
  <si>
    <t>SEDES CERRADAS</t>
  </si>
  <si>
    <r>
      <t>Observaciones:</t>
    </r>
    <r>
      <rPr>
        <sz val="10"/>
        <color theme="1"/>
        <rFont val="Century Gothic"/>
        <family val="2"/>
      </rPr>
      <t xml:space="preserve"> Se presenta consumo de 166 kWh en el PASO La Chinita; sede cerrada por MiRed. Se corrige el consumo de Carlos Meissel I presentado en la facturación anterior. Se enviará solicitud a la compañía para revisión de las sedes con consumos estimados.</t>
    </r>
  </si>
  <si>
    <t>Valor sedes habilitadas</t>
  </si>
  <si>
    <t>Valor sedes cerradas</t>
  </si>
  <si>
    <t>Subtotal</t>
  </si>
  <si>
    <t>Valor total Avalado</t>
  </si>
  <si>
    <t xml:space="preserve">  Electricaribe S.A. E.S.P.</t>
  </si>
  <si>
    <t xml:space="preserve">  09 de mayo de 2018</t>
  </si>
  <si>
    <t xml:space="preserve">  Abril de 2018</t>
  </si>
  <si>
    <t xml:space="preserve">  FX ELECTRICARIBE MES DE MARZO DE 2018</t>
  </si>
  <si>
    <t xml:space="preserve">  Energía Eléctrica.</t>
  </si>
  <si>
    <r>
      <t xml:space="preserve">  documentalmiredips@gmail.com   </t>
    </r>
    <r>
      <rPr>
        <b/>
        <sz val="9"/>
        <color theme="1"/>
        <rFont val="Century Gothic"/>
        <family val="2"/>
      </rPr>
      <t>FECHA ENVÍO:</t>
    </r>
    <r>
      <rPr>
        <sz val="9"/>
        <color theme="1"/>
        <rFont val="Century Gothic"/>
        <family val="2"/>
      </rPr>
      <t xml:space="preserve"> 09/05/2018</t>
    </r>
  </si>
  <si>
    <t>20/23/2018</t>
  </si>
  <si>
    <r>
      <t>Observaciones:</t>
    </r>
    <r>
      <rPr>
        <sz val="10"/>
        <rFont val="Century Gothic"/>
        <family val="2"/>
      </rPr>
      <t xml:space="preserve"> Se presenta consumo de 166 kWh en el PASO La Chinita; sede cerrada por MiRed. Se corrige el consumo de Carlos Meissel I presentado en la facturación anterior. Se enviará solicitud a la compañía para revisión de las sedes con consumos estimados.</t>
    </r>
  </si>
  <si>
    <t xml:space="preserve">  12 de junio de 2018</t>
  </si>
  <si>
    <t xml:space="preserve">  Mayo de 2018</t>
  </si>
  <si>
    <t>FACTURAS ELECTRICARIBE RED DE SERVICIOS MES DE MAYO DE 2018</t>
  </si>
  <si>
    <r>
      <t xml:space="preserve">  documentalmiredips@gmail.com   </t>
    </r>
    <r>
      <rPr>
        <b/>
        <sz val="9"/>
        <color theme="1"/>
        <rFont val="Century Gothic"/>
        <family val="2"/>
      </rPr>
      <t xml:space="preserve">FECHA ENVÍO: </t>
    </r>
    <r>
      <rPr>
        <sz val="9"/>
        <color theme="1"/>
        <rFont val="Century Gothic"/>
        <family val="2"/>
      </rPr>
      <t>12/06/2018</t>
    </r>
  </si>
  <si>
    <t>ADICIONAL</t>
  </si>
  <si>
    <t>P.A.S.O. Villa San Pablo</t>
  </si>
  <si>
    <t>Calle DG 138 No. 7M - 1</t>
  </si>
  <si>
    <r>
      <t>Observaciones:</t>
    </r>
    <r>
      <rPr>
        <sz val="10"/>
        <rFont val="Century Gothic"/>
        <family val="2"/>
      </rPr>
      <t xml:space="preserve"> Los consumos de las sedes cerradas, corresponden a cargos fijos. Sin embargo, en el P.A.S.O. La Chinita se presenta consumo de energía; durante los ultimos tres meses ha presentado consumos de 23, 70 y 66 kWh indicando medición real del contador. Se revisará con Electricaribe este punto.  // Se adicionan los consumos del PASO Villa San Pablo posterior a la verificación realizada con la empresa y sobre la cual se presenta trazabilidad del caso por correo electrónico.</t>
    </r>
  </si>
  <si>
    <t>Valor sedes Adicionales (Villa San Pablo)</t>
  </si>
  <si>
    <t xml:space="preserve">  12 de julio de 2018</t>
  </si>
  <si>
    <t xml:space="preserve">  Junio de 2018</t>
  </si>
  <si>
    <t xml:space="preserve"> Facturación Electricaribe Junio 2018</t>
  </si>
  <si>
    <r>
      <t xml:space="preserve"> documentalmiredips@gmail.com   </t>
    </r>
    <r>
      <rPr>
        <b/>
        <sz val="9"/>
        <color theme="1"/>
        <rFont val="Century Gothic"/>
        <family val="2"/>
      </rPr>
      <t xml:space="preserve">FECHA ENVÍO: </t>
    </r>
    <r>
      <rPr>
        <sz val="9"/>
        <color theme="1"/>
        <rFont val="Century Gothic"/>
        <family val="2"/>
      </rPr>
      <t>13/07/2018</t>
    </r>
  </si>
  <si>
    <t>Sede</t>
  </si>
  <si>
    <t>Dirección</t>
  </si>
  <si>
    <t>P.A.S.O. La 21</t>
  </si>
  <si>
    <t>Cra 21 N° 45 E - 25</t>
  </si>
  <si>
    <r>
      <t>Observaciones:</t>
    </r>
    <r>
      <rPr>
        <sz val="10"/>
        <rFont val="Century Gothic"/>
        <family val="2"/>
      </rPr>
      <t xml:space="preserve"> No se presenta la facturación correspondiente al PASO Villa San Pablo. Se incluye la facturación del PASO La 21; se debe solicitar retirar de su consumo el alumbrado público y la tasa de seguridad de acuerdo a como se establece para el resto de sedes. Se presenta consumo en el PASO La Chinita el cual se encuentra cerrado.</t>
    </r>
  </si>
  <si>
    <t>Agosto</t>
  </si>
  <si>
    <t xml:space="preserve">  Julio de 2018</t>
  </si>
  <si>
    <t xml:space="preserve">                                                       FECHA ENVÍO: </t>
  </si>
  <si>
    <t xml:space="preserve">Estimado </t>
  </si>
  <si>
    <t>16/07/201</t>
  </si>
  <si>
    <r>
      <t>Observaciones:</t>
    </r>
    <r>
      <rPr>
        <sz val="10"/>
        <rFont val="Century Gothic"/>
        <family val="2"/>
      </rPr>
      <t xml:space="preserve"> </t>
    </r>
  </si>
  <si>
    <t>verde retirar</t>
  </si>
  <si>
    <t>Septiembre 15 de 2018</t>
  </si>
  <si>
    <t>amarillo revisar urgente</t>
  </si>
  <si>
    <t>Facturas Electricaribe SA ESP</t>
  </si>
  <si>
    <t>aumentos revisar</t>
  </si>
  <si>
    <t xml:space="preserve">                                        FECHA ENVÍO: </t>
  </si>
  <si>
    <t>Azul errores casos especiales</t>
  </si>
  <si>
    <t>OTROS CONCEPTOS</t>
  </si>
  <si>
    <t>INDICADOR</t>
  </si>
  <si>
    <t>Consumo mes anterior</t>
  </si>
  <si>
    <t>% de Variación</t>
  </si>
  <si>
    <t>Diferencia</t>
  </si>
  <si>
    <t>10 Octubre de 2018</t>
  </si>
  <si>
    <t xml:space="preserve">  Septiembre de 2018</t>
  </si>
  <si>
    <t xml:space="preserve"> documentalmiredips@gmail.com     FECHA ENVÍO: </t>
  </si>
  <si>
    <t xml:space="preserve">sin factura </t>
  </si>
  <si>
    <t xml:space="preserve">ANA MILENA RODRIGUEZ ZARCO </t>
  </si>
  <si>
    <t>19 Noviembre  de 2018</t>
  </si>
  <si>
    <t xml:space="preserve">  OCTUBRE de 2018</t>
  </si>
  <si>
    <t xml:space="preserve">Vr. TOTAL MES </t>
  </si>
  <si>
    <t>353,75</t>
  </si>
  <si>
    <t>457,24</t>
  </si>
  <si>
    <t>423,69</t>
  </si>
  <si>
    <t>353,77</t>
  </si>
  <si>
    <t>380,72</t>
  </si>
  <si>
    <t>380,39</t>
  </si>
  <si>
    <t>449,92</t>
  </si>
  <si>
    <t>17 Diciembre de 2018</t>
  </si>
  <si>
    <t xml:space="preserve">  Noviembre de 2018</t>
  </si>
  <si>
    <t>Revisar mediciones</t>
  </si>
  <si>
    <t xml:space="preserve">Medicion </t>
  </si>
  <si>
    <t>Se solicitó suspensión y revisión. IPS UdeA debe.</t>
  </si>
  <si>
    <t xml:space="preserve">distrito especial y portuario </t>
  </si>
  <si>
    <t>Distrito especial y portuario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</si>
</sst>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164" formatCode="_(&quot;$&quot;\ * #,##0.00_);_(&quot;$&quot;\ * \(#,##0.00\);_(&quot;$&quot;\ * &quot;-&quot;??_);_(@_)"/>
    <numFmt numFmtId="165" formatCode="0.0"/>
    <numFmt numFmtId="166" formatCode="_(&quot;$&quot;\ * #,##0_);_(&quot;$&quot;\ * \(#,##0\);_(&quot;$&quot;\ * &quot;-&quot;??_);_(@_)"/>
    <numFmt numFmtId="167" formatCode="_-&quot;$&quot;* #,##0_-;\-&quot;$&quot;* #,##0_-;_-&quot;$&quot;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color rgb="FF555555"/>
      <name val="Century Gothic"/>
      <family val="2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  <font>
      <b/>
      <sz val="9"/>
      <color theme="0"/>
      <name val="Century Gothic"/>
      <family val="2"/>
    </font>
    <font>
      <sz val="9"/>
      <color theme="0" tint="-0.499984740745262"/>
      <name val="Century Gothic"/>
      <family val="2"/>
    </font>
    <font>
      <sz val="9"/>
      <name val="Century Gothic"/>
      <family val="2"/>
    </font>
    <font>
      <sz val="9"/>
      <color theme="1" tint="0.34998626667073579"/>
      <name val="Century Gothic"/>
      <family val="2"/>
    </font>
    <font>
      <b/>
      <sz val="11"/>
      <color rgb="FF000000"/>
      <name val="Century Gothic"/>
      <family val="2"/>
    </font>
    <font>
      <b/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B0F0"/>
      <name val="Century Gothic"/>
      <family val="2"/>
    </font>
    <font>
      <sz val="9"/>
      <color rgb="FF00B050"/>
      <name val="Century Gothic"/>
      <family val="2"/>
    </font>
    <font>
      <sz val="9"/>
      <color rgb="FF0070C0"/>
      <name val="Century Gothic"/>
      <family val="2"/>
    </font>
    <font>
      <b/>
      <sz val="9"/>
      <name val="Century Gothic"/>
      <family val="2"/>
    </font>
    <font>
      <b/>
      <sz val="11"/>
      <color theme="1"/>
      <name val="Century Gothic"/>
      <family val="2"/>
    </font>
    <font>
      <b/>
      <sz val="13"/>
      <name val="Century Gothic"/>
      <family val="2"/>
    </font>
    <font>
      <sz val="9"/>
      <color theme="9"/>
      <name val="Century Gothic"/>
      <family val="2"/>
    </font>
    <font>
      <sz val="9"/>
      <color rgb="FFC00000"/>
      <name val="Century Gothic"/>
      <family val="2"/>
    </font>
    <font>
      <sz val="9"/>
      <color theme="9" tint="-0.499984740745262"/>
      <name val="Century Gothic"/>
      <family val="2"/>
    </font>
    <font>
      <sz val="9"/>
      <color theme="9" tint="-0.249977111117893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763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4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left"/>
    </xf>
    <xf numFmtId="14" fontId="0" fillId="0" borderId="0" xfId="0" applyNumberFormat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 applyAlignment="1">
      <alignment wrapText="1"/>
    </xf>
    <xf numFmtId="166" fontId="0" fillId="0" borderId="2" xfId="1" applyNumberFormat="1" applyFont="1" applyBorder="1" applyAlignment="1">
      <alignment wrapText="1"/>
    </xf>
    <xf numFmtId="0" fontId="8" fillId="2" borderId="5" xfId="0" applyFont="1" applyFill="1" applyBorder="1" applyAlignment="1">
      <alignment vertical="center" wrapText="1"/>
    </xf>
    <xf numFmtId="165" fontId="9" fillId="2" borderId="2" xfId="0" applyNumberFormat="1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6" fontId="0" fillId="0" borderId="0" xfId="0" applyNumberFormat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/>
    <xf numFmtId="0" fontId="11" fillId="0" borderId="0" xfId="0" applyFont="1"/>
    <xf numFmtId="0" fontId="12" fillId="2" borderId="0" xfId="0" applyFont="1" applyFill="1"/>
    <xf numFmtId="0" fontId="13" fillId="2" borderId="2" xfId="0" applyFont="1" applyFill="1" applyBorder="1" applyAlignment="1">
      <alignment horizontal="left"/>
    </xf>
    <xf numFmtId="0" fontId="14" fillId="2" borderId="0" xfId="0" applyFont="1" applyFill="1"/>
    <xf numFmtId="0" fontId="13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 wrapText="1"/>
    </xf>
    <xf numFmtId="165" fontId="11" fillId="2" borderId="2" xfId="0" applyNumberFormat="1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14" fontId="17" fillId="2" borderId="2" xfId="0" applyNumberFormat="1" applyFont="1" applyFill="1" applyBorder="1" applyAlignment="1">
      <alignment horizontal="center" vertical="center" wrapText="1"/>
    </xf>
    <xf numFmtId="2" fontId="11" fillId="2" borderId="2" xfId="0" applyNumberFormat="1" applyFont="1" applyFill="1" applyBorder="1" applyAlignment="1">
      <alignment horizontal="center" vertical="center" wrapText="1"/>
    </xf>
    <xf numFmtId="3" fontId="14" fillId="2" borderId="2" xfId="0" applyNumberFormat="1" applyFont="1" applyFill="1" applyBorder="1" applyAlignment="1">
      <alignment horizontal="right" vertical="center" wrapText="1"/>
    </xf>
    <xf numFmtId="44" fontId="11" fillId="2" borderId="2" xfId="3" applyFont="1" applyFill="1" applyBorder="1" applyAlignment="1">
      <alignment horizontal="center"/>
    </xf>
    <xf numFmtId="166" fontId="14" fillId="2" borderId="2" xfId="1" applyNumberFormat="1" applyFont="1" applyFill="1" applyBorder="1" applyAlignment="1">
      <alignment horizontal="right" vertical="center" wrapText="1"/>
    </xf>
    <xf numFmtId="0" fontId="16" fillId="6" borderId="0" xfId="0" applyFont="1" applyFill="1" applyAlignment="1">
      <alignment horizontal="left"/>
    </xf>
    <xf numFmtId="3" fontId="11" fillId="2" borderId="2" xfId="0" applyNumberFormat="1" applyFont="1" applyFill="1" applyBorder="1" applyAlignment="1">
      <alignment horizontal="right" vertical="center" wrapText="1"/>
    </xf>
    <xf numFmtId="167" fontId="16" fillId="6" borderId="0" xfId="0" applyNumberFormat="1" applyFont="1" applyFill="1" applyAlignment="1">
      <alignment horizontal="left"/>
    </xf>
    <xf numFmtId="44" fontId="11" fillId="2" borderId="8" xfId="3" applyFont="1" applyFill="1" applyBorder="1" applyAlignment="1">
      <alignment horizontal="center"/>
    </xf>
    <xf numFmtId="0" fontId="17" fillId="2" borderId="2" xfId="0" applyFont="1" applyFill="1" applyBorder="1" applyAlignment="1">
      <alignment vertical="center" wrapText="1"/>
    </xf>
    <xf numFmtId="167" fontId="16" fillId="2" borderId="0" xfId="0" applyNumberFormat="1" applyFont="1" applyFill="1" applyAlignment="1">
      <alignment horizontal="left"/>
    </xf>
    <xf numFmtId="165" fontId="11" fillId="7" borderId="2" xfId="0" applyNumberFormat="1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1" fontId="11" fillId="7" borderId="2" xfId="0" applyNumberFormat="1" applyFont="1" applyFill="1" applyBorder="1" applyAlignment="1">
      <alignment horizontal="center" vertical="center" wrapText="1"/>
    </xf>
    <xf numFmtId="14" fontId="17" fillId="7" borderId="2" xfId="0" applyNumberFormat="1" applyFont="1" applyFill="1" applyBorder="1" applyAlignment="1">
      <alignment horizontal="center" vertical="center" wrapText="1"/>
    </xf>
    <xf numFmtId="2" fontId="11" fillId="7" borderId="2" xfId="0" applyNumberFormat="1" applyFont="1" applyFill="1" applyBorder="1" applyAlignment="1">
      <alignment horizontal="center" vertical="center" wrapText="1"/>
    </xf>
    <xf numFmtId="3" fontId="14" fillId="7" borderId="2" xfId="0" applyNumberFormat="1" applyFont="1" applyFill="1" applyBorder="1" applyAlignment="1">
      <alignment horizontal="right" vertical="center" wrapText="1"/>
    </xf>
    <xf numFmtId="44" fontId="11" fillId="7" borderId="2" xfId="3" applyFont="1" applyFill="1" applyBorder="1" applyAlignment="1">
      <alignment horizontal="center"/>
    </xf>
    <xf numFmtId="166" fontId="14" fillId="7" borderId="2" xfId="1" applyNumberFormat="1" applyFont="1" applyFill="1" applyBorder="1" applyAlignment="1">
      <alignment horizontal="right" vertical="center" wrapText="1"/>
    </xf>
    <xf numFmtId="165" fontId="17" fillId="2" borderId="2" xfId="0" applyNumberFormat="1" applyFont="1" applyFill="1" applyBorder="1" applyAlignment="1">
      <alignment vertical="center" wrapText="1"/>
    </xf>
    <xf numFmtId="1" fontId="17" fillId="2" borderId="2" xfId="0" applyNumberFormat="1" applyFont="1" applyFill="1" applyBorder="1" applyAlignment="1">
      <alignment horizontal="center" vertical="center" wrapText="1"/>
    </xf>
    <xf numFmtId="167" fontId="11" fillId="2" borderId="2" xfId="3" applyNumberFormat="1" applyFont="1" applyFill="1" applyBorder="1" applyAlignment="1">
      <alignment horizontal="center"/>
    </xf>
    <xf numFmtId="165" fontId="11" fillId="2" borderId="0" xfId="0" applyNumberFormat="1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1" fontId="11" fillId="2" borderId="0" xfId="0" applyNumberFormat="1" applyFont="1" applyFill="1" applyBorder="1" applyAlignment="1">
      <alignment horizontal="center" vertical="center" wrapText="1"/>
    </xf>
    <xf numFmtId="14" fontId="17" fillId="2" borderId="0" xfId="0" applyNumberFormat="1" applyFont="1" applyFill="1" applyBorder="1" applyAlignment="1">
      <alignment horizontal="center" vertical="center" wrapText="1"/>
    </xf>
    <xf numFmtId="1" fontId="18" fillId="2" borderId="6" xfId="0" applyNumberFormat="1" applyFont="1" applyFill="1" applyBorder="1" applyAlignment="1">
      <alignment horizontal="center" vertical="center" wrapText="1"/>
    </xf>
    <xf numFmtId="44" fontId="18" fillId="2" borderId="6" xfId="3" applyFont="1" applyFill="1" applyBorder="1"/>
    <xf numFmtId="44" fontId="18" fillId="2" borderId="0" xfId="3" applyFont="1" applyFill="1" applyBorder="1" applyAlignment="1">
      <alignment horizontal="center"/>
    </xf>
    <xf numFmtId="166" fontId="18" fillId="2" borderId="1" xfId="1" applyNumberFormat="1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wrapText="1"/>
    </xf>
    <xf numFmtId="0" fontId="11" fillId="2" borderId="0" xfId="0" applyFont="1" applyFill="1" applyAlignment="1">
      <alignment horizontal="center" vertical="center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right" vertical="center" wrapText="1"/>
    </xf>
    <xf numFmtId="3" fontId="14" fillId="2" borderId="6" xfId="0" applyNumberFormat="1" applyFont="1" applyFill="1" applyBorder="1" applyAlignment="1">
      <alignment horizontal="right" vertical="center" wrapText="1"/>
    </xf>
    <xf numFmtId="3" fontId="19" fillId="7" borderId="6" xfId="0" applyNumberFormat="1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left" vertical="center" wrapText="1"/>
    </xf>
    <xf numFmtId="3" fontId="14" fillId="2" borderId="0" xfId="0" applyNumberFormat="1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 vertical="center" wrapText="1"/>
    </xf>
    <xf numFmtId="3" fontId="20" fillId="2" borderId="0" xfId="0" applyNumberFormat="1" applyFont="1" applyFill="1" applyBorder="1" applyAlignment="1">
      <alignment horizontal="right" vertical="center" wrapText="1"/>
    </xf>
    <xf numFmtId="0" fontId="13" fillId="2" borderId="0" xfId="0" applyFont="1" applyFill="1"/>
    <xf numFmtId="0" fontId="21" fillId="2" borderId="0" xfId="0" applyFont="1" applyFill="1" applyAlignment="1">
      <alignment vertical="center" wrapText="1"/>
    </xf>
    <xf numFmtId="0" fontId="21" fillId="2" borderId="0" xfId="0" applyFont="1" applyFill="1" applyBorder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0" fontId="13" fillId="8" borderId="2" xfId="0" applyFont="1" applyFill="1" applyBorder="1" applyAlignment="1">
      <alignment horizontal="left"/>
    </xf>
    <xf numFmtId="0" fontId="13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165" fontId="11" fillId="9" borderId="2" xfId="0" applyNumberFormat="1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1" fontId="11" fillId="9" borderId="2" xfId="0" applyNumberFormat="1" applyFont="1" applyFill="1" applyBorder="1" applyAlignment="1">
      <alignment horizontal="center" vertical="center" wrapText="1"/>
    </xf>
    <xf numFmtId="14" fontId="17" fillId="9" borderId="2" xfId="0" applyNumberFormat="1" applyFont="1" applyFill="1" applyBorder="1" applyAlignment="1">
      <alignment horizontal="center" vertical="center" wrapText="1"/>
    </xf>
    <xf numFmtId="2" fontId="11" fillId="9" borderId="2" xfId="0" applyNumberFormat="1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right" vertical="center" wrapText="1"/>
    </xf>
    <xf numFmtId="44" fontId="11" fillId="9" borderId="2" xfId="3" applyFont="1" applyFill="1" applyBorder="1" applyAlignment="1">
      <alignment horizontal="center"/>
    </xf>
    <xf numFmtId="166" fontId="14" fillId="9" borderId="2" xfId="1" applyNumberFormat="1" applyFont="1" applyFill="1" applyBorder="1" applyAlignment="1">
      <alignment horizontal="right" vertical="center" wrapText="1"/>
    </xf>
    <xf numFmtId="0" fontId="17" fillId="2" borderId="0" xfId="0" applyFont="1" applyFill="1" applyBorder="1" applyAlignment="1">
      <alignment vertical="center" wrapText="1"/>
    </xf>
    <xf numFmtId="1" fontId="11" fillId="2" borderId="6" xfId="0" applyNumberFormat="1" applyFont="1" applyFill="1" applyBorder="1" applyAlignment="1">
      <alignment horizontal="center" vertical="center" wrapText="1"/>
    </xf>
    <xf numFmtId="2" fontId="11" fillId="2" borderId="0" xfId="0" applyNumberFormat="1" applyFont="1" applyFill="1" applyBorder="1" applyAlignment="1">
      <alignment horizontal="center" vertical="center" wrapText="1"/>
    </xf>
    <xf numFmtId="44" fontId="11" fillId="2" borderId="0" xfId="3" applyFont="1" applyFill="1" applyBorder="1" applyAlignment="1">
      <alignment horizontal="center"/>
    </xf>
    <xf numFmtId="166" fontId="14" fillId="2" borderId="0" xfId="1" applyNumberFormat="1" applyFont="1" applyFill="1" applyBorder="1" applyAlignment="1">
      <alignment horizontal="right" vertical="center" wrapText="1"/>
    </xf>
    <xf numFmtId="1" fontId="18" fillId="2" borderId="0" xfId="0" applyNumberFormat="1" applyFont="1" applyFill="1" applyBorder="1" applyAlignment="1">
      <alignment horizontal="center" vertical="center" wrapText="1"/>
    </xf>
    <xf numFmtId="44" fontId="18" fillId="2" borderId="0" xfId="3" applyFont="1" applyFill="1" applyBorder="1"/>
    <xf numFmtId="166" fontId="18" fillId="2" borderId="0" xfId="1" applyNumberFormat="1" applyFont="1" applyFill="1" applyBorder="1" applyAlignment="1">
      <alignment horizontal="right" vertical="center" wrapText="1"/>
    </xf>
    <xf numFmtId="166" fontId="22" fillId="2" borderId="1" xfId="1" applyNumberFormat="1" applyFont="1" applyFill="1" applyBorder="1" applyAlignment="1">
      <alignment horizontal="right" vertical="center" wrapText="1"/>
    </xf>
    <xf numFmtId="166" fontId="10" fillId="7" borderId="1" xfId="1" applyNumberFormat="1" applyFont="1" applyFill="1" applyBorder="1" applyAlignment="1">
      <alignment horizontal="right" vertical="center" wrapText="1"/>
    </xf>
    <xf numFmtId="0" fontId="11" fillId="8" borderId="2" xfId="0" applyFont="1" applyFill="1" applyBorder="1" applyAlignment="1">
      <alignment horizontal="left"/>
    </xf>
    <xf numFmtId="3" fontId="14" fillId="2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3" fontId="14" fillId="9" borderId="2" xfId="0" applyNumberFormat="1" applyFont="1" applyFill="1" applyBorder="1" applyAlignment="1">
      <alignment horizontal="center" vertical="center" wrapText="1"/>
    </xf>
    <xf numFmtId="3" fontId="14" fillId="2" borderId="0" xfId="0" applyNumberFormat="1" applyFont="1" applyFill="1" applyBorder="1" applyAlignment="1">
      <alignment horizontal="center" vertical="center" wrapText="1"/>
    </xf>
    <xf numFmtId="44" fontId="18" fillId="2" borderId="0" xfId="3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165" fontId="11" fillId="10" borderId="2" xfId="0" applyNumberFormat="1" applyFont="1" applyFill="1" applyBorder="1" applyAlignment="1">
      <alignment vertical="center" wrapText="1"/>
    </xf>
    <xf numFmtId="0" fontId="11" fillId="10" borderId="2" xfId="0" applyFont="1" applyFill="1" applyBorder="1" applyAlignment="1">
      <alignment vertical="center" wrapText="1"/>
    </xf>
    <xf numFmtId="1" fontId="11" fillId="10" borderId="2" xfId="0" applyNumberFormat="1" applyFont="1" applyFill="1" applyBorder="1" applyAlignment="1">
      <alignment horizontal="center" vertical="center" wrapText="1"/>
    </xf>
    <xf numFmtId="14" fontId="17" fillId="10" borderId="2" xfId="0" applyNumberFormat="1" applyFont="1" applyFill="1" applyBorder="1" applyAlignment="1">
      <alignment horizontal="center" vertical="center" wrapText="1"/>
    </xf>
    <xf numFmtId="3" fontId="14" fillId="10" borderId="2" xfId="0" applyNumberFormat="1" applyFont="1" applyFill="1" applyBorder="1" applyAlignment="1">
      <alignment horizontal="center" vertical="center" wrapText="1"/>
    </xf>
    <xf numFmtId="166" fontId="14" fillId="10" borderId="2" xfId="1" applyNumberFormat="1" applyFont="1" applyFill="1" applyBorder="1" applyAlignment="1">
      <alignment horizontal="right" vertical="center" wrapText="1"/>
    </xf>
    <xf numFmtId="0" fontId="27" fillId="2" borderId="0" xfId="0" applyFont="1" applyFill="1" applyAlignment="1">
      <alignment horizontal="center" vertical="center"/>
    </xf>
    <xf numFmtId="0" fontId="11" fillId="10" borderId="0" xfId="0" applyFont="1" applyFill="1"/>
    <xf numFmtId="2" fontId="11" fillId="10" borderId="2" xfId="0" applyNumberFormat="1" applyFont="1" applyFill="1" applyBorder="1" applyAlignment="1">
      <alignment horizontal="center" vertical="center" wrapText="1"/>
    </xf>
    <xf numFmtId="44" fontId="11" fillId="10" borderId="2" xfId="3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166" fontId="11" fillId="2" borderId="2" xfId="1" applyNumberFormat="1" applyFont="1" applyFill="1" applyBorder="1" applyAlignment="1">
      <alignment horizontal="right" vertical="center" wrapText="1"/>
    </xf>
    <xf numFmtId="14" fontId="11" fillId="0" borderId="0" xfId="0" applyNumberFormat="1" applyFont="1" applyAlignment="1">
      <alignment horizontal="center" vertical="center"/>
    </xf>
    <xf numFmtId="165" fontId="11" fillId="11" borderId="2" xfId="0" applyNumberFormat="1" applyFont="1" applyFill="1" applyBorder="1" applyAlignment="1">
      <alignment vertical="center" wrapText="1"/>
    </xf>
    <xf numFmtId="0" fontId="11" fillId="11" borderId="2" xfId="0" applyFont="1" applyFill="1" applyBorder="1" applyAlignment="1">
      <alignment vertical="center" wrapText="1"/>
    </xf>
    <xf numFmtId="1" fontId="11" fillId="11" borderId="2" xfId="0" applyNumberFormat="1" applyFont="1" applyFill="1" applyBorder="1" applyAlignment="1">
      <alignment horizontal="center" vertical="center" wrapText="1"/>
    </xf>
    <xf numFmtId="14" fontId="17" fillId="11" borderId="2" xfId="0" applyNumberFormat="1" applyFont="1" applyFill="1" applyBorder="1" applyAlignment="1">
      <alignment horizontal="center" vertical="center" wrapText="1"/>
    </xf>
    <xf numFmtId="2" fontId="11" fillId="11" borderId="2" xfId="0" applyNumberFormat="1" applyFont="1" applyFill="1" applyBorder="1" applyAlignment="1">
      <alignment horizontal="center" vertical="center" wrapText="1"/>
    </xf>
    <xf numFmtId="3" fontId="14" fillId="11" borderId="2" xfId="0" applyNumberFormat="1" applyFont="1" applyFill="1" applyBorder="1" applyAlignment="1">
      <alignment horizontal="center" vertical="center" wrapText="1"/>
    </xf>
    <xf numFmtId="166" fontId="14" fillId="11" borderId="2" xfId="1" applyNumberFormat="1" applyFont="1" applyFill="1" applyBorder="1" applyAlignment="1">
      <alignment horizontal="right" vertical="center" wrapText="1"/>
    </xf>
    <xf numFmtId="166" fontId="11" fillId="2" borderId="0" xfId="0" applyNumberFormat="1" applyFont="1" applyFill="1"/>
    <xf numFmtId="166" fontId="21" fillId="2" borderId="0" xfId="0" applyNumberFormat="1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11" fillId="4" borderId="0" xfId="0" applyFont="1" applyFill="1"/>
    <xf numFmtId="166" fontId="11" fillId="10" borderId="2" xfId="1" applyNumberFormat="1" applyFont="1" applyFill="1" applyBorder="1" applyAlignment="1">
      <alignment horizontal="right" vertical="center" wrapText="1"/>
    </xf>
    <xf numFmtId="44" fontId="11" fillId="10" borderId="8" xfId="3" applyFont="1" applyFill="1" applyBorder="1" applyAlignment="1">
      <alignment horizontal="center"/>
    </xf>
    <xf numFmtId="14" fontId="11" fillId="10" borderId="2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3" fontId="21" fillId="2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horizontal="center" vertical="center"/>
    </xf>
    <xf numFmtId="165" fontId="11" fillId="15" borderId="2" xfId="0" applyNumberFormat="1" applyFont="1" applyFill="1" applyBorder="1" applyAlignment="1">
      <alignment vertical="center" wrapText="1"/>
    </xf>
    <xf numFmtId="0" fontId="11" fillId="15" borderId="2" xfId="0" applyFont="1" applyFill="1" applyBorder="1" applyAlignment="1">
      <alignment vertical="center" wrapText="1"/>
    </xf>
    <xf numFmtId="1" fontId="11" fillId="15" borderId="2" xfId="0" applyNumberFormat="1" applyFont="1" applyFill="1" applyBorder="1" applyAlignment="1">
      <alignment horizontal="center" vertical="center" wrapText="1"/>
    </xf>
    <xf numFmtId="14" fontId="17" fillId="15" borderId="2" xfId="0" applyNumberFormat="1" applyFont="1" applyFill="1" applyBorder="1" applyAlignment="1">
      <alignment horizontal="center" vertical="center" wrapText="1"/>
    </xf>
    <xf numFmtId="2" fontId="11" fillId="15" borderId="2" xfId="0" applyNumberFormat="1" applyFont="1" applyFill="1" applyBorder="1" applyAlignment="1">
      <alignment horizontal="center" vertical="center" wrapText="1"/>
    </xf>
    <xf numFmtId="3" fontId="11" fillId="15" borderId="2" xfId="0" applyNumberFormat="1" applyFont="1" applyFill="1" applyBorder="1" applyAlignment="1">
      <alignment horizontal="center" vertical="center" wrapText="1"/>
    </xf>
    <xf numFmtId="44" fontId="11" fillId="15" borderId="2" xfId="3" applyFont="1" applyFill="1" applyBorder="1" applyAlignment="1">
      <alignment horizontal="center"/>
    </xf>
    <xf numFmtId="166" fontId="14" fillId="15" borderId="2" xfId="1" applyNumberFormat="1" applyFont="1" applyFill="1" applyBorder="1" applyAlignment="1">
      <alignment horizontal="right" vertical="center" wrapText="1"/>
    </xf>
    <xf numFmtId="0" fontId="29" fillId="15" borderId="2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3" fontId="14" fillId="15" borderId="2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8" fillId="15" borderId="2" xfId="0" applyFont="1" applyFill="1" applyBorder="1" applyAlignment="1">
      <alignment horizontal="center" vertical="center"/>
    </xf>
    <xf numFmtId="44" fontId="11" fillId="11" borderId="2" xfId="3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/>
    </xf>
    <xf numFmtId="14" fontId="11" fillId="11" borderId="2" xfId="0" applyNumberFormat="1" applyFont="1" applyFill="1" applyBorder="1" applyAlignment="1">
      <alignment horizontal="center" vertical="center" wrapText="1"/>
    </xf>
    <xf numFmtId="166" fontId="11" fillId="11" borderId="2" xfId="1" applyNumberFormat="1" applyFont="1" applyFill="1" applyBorder="1" applyAlignment="1">
      <alignment horizontal="right" vertical="center" wrapText="1"/>
    </xf>
    <xf numFmtId="0" fontId="21" fillId="16" borderId="0" xfId="0" applyFont="1" applyFill="1" applyBorder="1"/>
    <xf numFmtId="14" fontId="11" fillId="2" borderId="2" xfId="0" applyNumberFormat="1" applyFont="1" applyFill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1" fontId="11" fillId="0" borderId="2" xfId="0" applyNumberFormat="1" applyFont="1" applyFill="1" applyBorder="1" applyAlignment="1">
      <alignment horizontal="center" vertical="center" wrapText="1"/>
    </xf>
    <xf numFmtId="14" fontId="17" fillId="0" borderId="2" xfId="0" applyNumberFormat="1" applyFont="1" applyFill="1" applyBorder="1" applyAlignment="1">
      <alignment horizontal="center" vertical="center" wrapText="1"/>
    </xf>
    <xf numFmtId="2" fontId="11" fillId="0" borderId="2" xfId="0" applyNumberFormat="1" applyFont="1" applyFill="1" applyBorder="1" applyAlignment="1">
      <alignment horizontal="center" vertical="center" wrapText="1"/>
    </xf>
    <xf numFmtId="44" fontId="11" fillId="0" borderId="2" xfId="3" applyFont="1" applyFill="1" applyBorder="1" applyAlignment="1">
      <alignment horizontal="center"/>
    </xf>
    <xf numFmtId="166" fontId="14" fillId="0" borderId="2" xfId="1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/>
    </xf>
    <xf numFmtId="0" fontId="17" fillId="0" borderId="2" xfId="0" applyFont="1" applyFill="1" applyBorder="1" applyAlignment="1">
      <alignment vertical="center" wrapText="1"/>
    </xf>
    <xf numFmtId="0" fontId="29" fillId="0" borderId="2" xfId="0" applyFont="1" applyFill="1" applyBorder="1" applyAlignment="1">
      <alignment horizontal="center" vertical="center"/>
    </xf>
    <xf numFmtId="0" fontId="29" fillId="11" borderId="0" xfId="0" applyFont="1" applyFill="1" applyBorder="1" applyAlignment="1">
      <alignment horizontal="center" vertical="center"/>
    </xf>
    <xf numFmtId="0" fontId="11" fillId="11" borderId="0" xfId="0" applyFont="1" applyFill="1" applyBorder="1"/>
    <xf numFmtId="165" fontId="17" fillId="11" borderId="2" xfId="0" applyNumberFormat="1" applyFont="1" applyFill="1" applyBorder="1" applyAlignment="1">
      <alignment vertical="center" wrapText="1"/>
    </xf>
    <xf numFmtId="0" fontId="17" fillId="11" borderId="2" xfId="0" applyFont="1" applyFill="1" applyBorder="1" applyAlignment="1">
      <alignment vertical="center" wrapText="1"/>
    </xf>
    <xf numFmtId="0" fontId="21" fillId="11" borderId="0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3" fontId="21" fillId="2" borderId="0" xfId="0" applyNumberFormat="1" applyFont="1" applyFill="1" applyBorder="1" applyAlignment="1">
      <alignment horizontal="center" vertical="center"/>
    </xf>
    <xf numFmtId="166" fontId="11" fillId="0" borderId="2" xfId="1" applyNumberFormat="1" applyFont="1" applyFill="1" applyBorder="1" applyAlignment="1">
      <alignment horizontal="right" vertical="center" wrapText="1"/>
    </xf>
    <xf numFmtId="0" fontId="11" fillId="15" borderId="2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vertical="top" wrapText="1"/>
    </xf>
    <xf numFmtId="164" fontId="22" fillId="2" borderId="1" xfId="1" applyFont="1" applyFill="1" applyBorder="1" applyAlignment="1">
      <alignment horizontal="right" vertical="center" wrapText="1"/>
    </xf>
    <xf numFmtId="1" fontId="22" fillId="2" borderId="0" xfId="0" applyNumberFormat="1" applyFont="1" applyFill="1" applyBorder="1" applyAlignment="1">
      <alignment vertical="center" wrapText="1"/>
    </xf>
    <xf numFmtId="1" fontId="22" fillId="2" borderId="1" xfId="0" applyNumberFormat="1" applyFont="1" applyFill="1" applyBorder="1" applyAlignment="1">
      <alignment vertical="center" wrapText="1"/>
    </xf>
    <xf numFmtId="166" fontId="31" fillId="7" borderId="1" xfId="1" applyNumberFormat="1" applyFont="1" applyFill="1" applyBorder="1" applyAlignment="1">
      <alignment horizontal="right" vertical="center" wrapText="1"/>
    </xf>
    <xf numFmtId="166" fontId="24" fillId="2" borderId="1" xfId="1" applyNumberFormat="1" applyFont="1" applyFill="1" applyBorder="1" applyAlignment="1">
      <alignment vertical="center" wrapText="1"/>
    </xf>
    <xf numFmtId="9" fontId="32" fillId="2" borderId="6" xfId="2" applyFont="1" applyFill="1" applyBorder="1" applyAlignment="1">
      <alignment horizontal="center" vertical="center" wrapText="1"/>
    </xf>
    <xf numFmtId="166" fontId="11" fillId="2" borderId="6" xfId="0" applyNumberFormat="1" applyFont="1" applyFill="1" applyBorder="1"/>
    <xf numFmtId="0" fontId="11" fillId="2" borderId="2" xfId="0" applyFont="1" applyFill="1" applyBorder="1"/>
    <xf numFmtId="0" fontId="11" fillId="0" borderId="2" xfId="0" applyFont="1" applyBorder="1"/>
    <xf numFmtId="166" fontId="14" fillId="2" borderId="2" xfId="1" applyNumberFormat="1" applyFont="1" applyFill="1" applyBorder="1" applyAlignment="1">
      <alignment horizontal="right" wrapText="1"/>
    </xf>
    <xf numFmtId="0" fontId="33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 wrapText="1"/>
    </xf>
    <xf numFmtId="166" fontId="14" fillId="0" borderId="2" xfId="1" applyNumberFormat="1" applyFont="1" applyFill="1" applyBorder="1" applyAlignment="1">
      <alignment horizontal="right" wrapText="1"/>
    </xf>
    <xf numFmtId="0" fontId="11" fillId="0" borderId="5" xfId="0" applyFont="1" applyFill="1" applyBorder="1" applyAlignment="1">
      <alignment horizontal="center" vertical="center"/>
    </xf>
    <xf numFmtId="0" fontId="11" fillId="0" borderId="2" xfId="0" applyFont="1" applyFill="1" applyBorder="1"/>
    <xf numFmtId="0" fontId="11" fillId="0" borderId="0" xfId="0" applyFont="1" applyFill="1"/>
    <xf numFmtId="0" fontId="34" fillId="2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166" fontId="11" fillId="2" borderId="2" xfId="1" applyNumberFormat="1" applyFont="1" applyFill="1" applyBorder="1" applyAlignment="1">
      <alignment horizontal="right" wrapText="1"/>
    </xf>
    <xf numFmtId="0" fontId="21" fillId="2" borderId="2" xfId="0" applyFont="1" applyFill="1" applyBorder="1" applyAlignment="1">
      <alignment horizontal="center"/>
    </xf>
    <xf numFmtId="14" fontId="11" fillId="0" borderId="2" xfId="0" applyNumberFormat="1" applyFont="1" applyFill="1" applyBorder="1" applyAlignment="1">
      <alignment horizontal="center" vertical="center" wrapText="1"/>
    </xf>
    <xf numFmtId="166" fontId="11" fillId="0" borderId="2" xfId="1" applyNumberFormat="1" applyFont="1" applyFill="1" applyBorder="1" applyAlignment="1">
      <alignment horizontal="right" wrapText="1"/>
    </xf>
    <xf numFmtId="0" fontId="21" fillId="0" borderId="2" xfId="0" applyFont="1" applyFill="1" applyBorder="1"/>
    <xf numFmtId="0" fontId="33" fillId="0" borderId="2" xfId="0" applyFont="1" applyFill="1" applyBorder="1" applyAlignment="1">
      <alignment horizontal="center"/>
    </xf>
    <xf numFmtId="165" fontId="17" fillId="0" borderId="2" xfId="0" applyNumberFormat="1" applyFont="1" applyFill="1" applyBorder="1" applyAlignment="1">
      <alignment vertical="center" wrapText="1"/>
    </xf>
    <xf numFmtId="0" fontId="27" fillId="0" borderId="2" xfId="0" applyFont="1" applyFill="1" applyBorder="1" applyAlignment="1">
      <alignment horizontal="center" vertical="center"/>
    </xf>
    <xf numFmtId="166" fontId="14" fillId="0" borderId="2" xfId="1" applyNumberFormat="1" applyFont="1" applyFill="1" applyBorder="1" applyAlignment="1">
      <alignment horizontal="left" vertical="center" wrapText="1"/>
    </xf>
    <xf numFmtId="166" fontId="14" fillId="2" borderId="2" xfId="1" applyNumberFormat="1" applyFont="1" applyFill="1" applyBorder="1" applyAlignment="1">
      <alignment horizontal="left" vertical="center" wrapText="1"/>
    </xf>
    <xf numFmtId="0" fontId="11" fillId="15" borderId="5" xfId="0" applyFont="1" applyFill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center" vertical="center" wrapText="1"/>
    </xf>
    <xf numFmtId="44" fontId="18" fillId="2" borderId="2" xfId="3" applyFont="1" applyFill="1" applyBorder="1" applyAlignment="1">
      <alignment horizontal="center" vertical="center"/>
    </xf>
    <xf numFmtId="44" fontId="18" fillId="2" borderId="2" xfId="3" applyFont="1" applyFill="1" applyBorder="1" applyAlignment="1">
      <alignment horizontal="center"/>
    </xf>
    <xf numFmtId="166" fontId="18" fillId="2" borderId="2" xfId="1" applyNumberFormat="1" applyFont="1" applyFill="1" applyBorder="1" applyAlignment="1">
      <alignment horizontal="left" vertical="center" wrapText="1"/>
    </xf>
    <xf numFmtId="0" fontId="11" fillId="2" borderId="10" xfId="0" applyFont="1" applyFill="1" applyBorder="1"/>
    <xf numFmtId="0" fontId="11" fillId="2" borderId="3" xfId="0" applyFont="1" applyFill="1" applyBorder="1"/>
    <xf numFmtId="0" fontId="23" fillId="2" borderId="2" xfId="0" applyFont="1" applyFill="1" applyBorder="1" applyAlignment="1">
      <alignment vertical="top" wrapText="1"/>
    </xf>
    <xf numFmtId="166" fontId="22" fillId="2" borderId="2" xfId="1" applyNumberFormat="1" applyFont="1" applyFill="1" applyBorder="1" applyAlignment="1">
      <alignment horizontal="left" vertical="center" wrapText="1"/>
    </xf>
    <xf numFmtId="1" fontId="22" fillId="2" borderId="2" xfId="0" applyNumberFormat="1" applyFont="1" applyFill="1" applyBorder="1" applyAlignment="1">
      <alignment vertical="center" wrapText="1"/>
    </xf>
    <xf numFmtId="166" fontId="22" fillId="2" borderId="2" xfId="1" applyNumberFormat="1" applyFont="1" applyFill="1" applyBorder="1" applyAlignment="1">
      <alignment horizontal="right" vertical="center" wrapText="1"/>
    </xf>
    <xf numFmtId="166" fontId="31" fillId="7" borderId="2" xfId="1" applyNumberFormat="1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wrapText="1"/>
    </xf>
    <xf numFmtId="0" fontId="13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vertical="center" wrapText="1"/>
    </xf>
    <xf numFmtId="166" fontId="24" fillId="2" borderId="2" xfId="1" applyNumberFormat="1" applyFont="1" applyFill="1" applyBorder="1" applyAlignment="1">
      <alignment vertical="center" wrapText="1"/>
    </xf>
    <xf numFmtId="0" fontId="13" fillId="2" borderId="2" xfId="0" applyFont="1" applyFill="1" applyBorder="1"/>
    <xf numFmtId="9" fontId="32" fillId="2" borderId="2" xfId="2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166" fontId="11" fillId="2" borderId="2" xfId="0" applyNumberFormat="1" applyFont="1" applyFill="1" applyBorder="1"/>
    <xf numFmtId="0" fontId="0" fillId="0" borderId="2" xfId="0" applyBorder="1"/>
    <xf numFmtId="166" fontId="14" fillId="0" borderId="2" xfId="1" applyNumberFormat="1" applyFont="1" applyFill="1" applyBorder="1" applyAlignment="1">
      <alignment horizontal="left" vertical="top" wrapText="1"/>
    </xf>
    <xf numFmtId="0" fontId="33" fillId="0" borderId="2" xfId="0" applyFont="1" applyFill="1" applyBorder="1" applyAlignment="1">
      <alignment horizontal="center" vertical="center"/>
    </xf>
    <xf numFmtId="165" fontId="11" fillId="0" borderId="3" xfId="0" applyNumberFormat="1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36" fillId="0" borderId="2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166" fontId="11" fillId="0" borderId="2" xfId="1" applyNumberFormat="1" applyFont="1" applyFill="1" applyBorder="1" applyAlignment="1">
      <alignment horizontal="left" vertical="top" wrapText="1"/>
    </xf>
    <xf numFmtId="44" fontId="11" fillId="0" borderId="8" xfId="3" applyFont="1" applyFill="1" applyBorder="1" applyAlignment="1">
      <alignment horizontal="center"/>
    </xf>
    <xf numFmtId="14" fontId="11" fillId="0" borderId="2" xfId="0" applyNumberFormat="1" applyFont="1" applyFill="1" applyBorder="1" applyAlignment="1">
      <alignment horizontal="center" vertical="center"/>
    </xf>
    <xf numFmtId="167" fontId="11" fillId="0" borderId="2" xfId="3" applyNumberFormat="1" applyFont="1" applyFill="1" applyBorder="1" applyAlignment="1">
      <alignment horizontal="center"/>
    </xf>
    <xf numFmtId="3" fontId="21" fillId="0" borderId="2" xfId="0" applyNumberFormat="1" applyFont="1" applyFill="1" applyBorder="1" applyAlignment="1">
      <alignment horizontal="center" vertical="center"/>
    </xf>
    <xf numFmtId="166" fontId="14" fillId="11" borderId="2" xfId="1" applyNumberFormat="1" applyFont="1" applyFill="1" applyBorder="1" applyAlignment="1">
      <alignment horizontal="left" vertical="top" wrapText="1"/>
    </xf>
    <xf numFmtId="0" fontId="11" fillId="11" borderId="5" xfId="0" applyFont="1" applyFill="1" applyBorder="1" applyAlignment="1">
      <alignment horizontal="center" vertical="center"/>
    </xf>
    <xf numFmtId="0" fontId="11" fillId="11" borderId="2" xfId="0" applyFont="1" applyFill="1" applyBorder="1"/>
    <xf numFmtId="0" fontId="11" fillId="11" borderId="0" xfId="0" applyFont="1" applyFill="1"/>
    <xf numFmtId="166" fontId="18" fillId="2" borderId="2" xfId="1" applyNumberFormat="1" applyFont="1" applyFill="1" applyBorder="1" applyAlignment="1">
      <alignment horizontal="left" vertical="top" wrapText="1"/>
    </xf>
    <xf numFmtId="166" fontId="22" fillId="2" borderId="2" xfId="1" applyNumberFormat="1" applyFont="1" applyFill="1" applyBorder="1" applyAlignment="1">
      <alignment horizontal="left" vertical="top" wrapText="1"/>
    </xf>
    <xf numFmtId="166" fontId="31" fillId="7" borderId="2" xfId="1" applyNumberFormat="1" applyFont="1" applyFill="1" applyBorder="1" applyAlignment="1">
      <alignment horizontal="left" vertical="top" wrapText="1"/>
    </xf>
    <xf numFmtId="0" fontId="27" fillId="0" borderId="2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44" fontId="15" fillId="0" borderId="3" xfId="3" applyFont="1" applyFill="1" applyBorder="1" applyAlignment="1">
      <alignment horizontal="left" vertical="center" wrapText="1"/>
    </xf>
    <xf numFmtId="0" fontId="30" fillId="0" borderId="3" xfId="0" applyFont="1" applyFill="1" applyBorder="1" applyAlignment="1">
      <alignment horizontal="center" vertical="center"/>
    </xf>
    <xf numFmtId="165" fontId="11" fillId="14" borderId="2" xfId="0" applyNumberFormat="1" applyFont="1" applyFill="1" applyBorder="1" applyAlignment="1">
      <alignment vertical="center" wrapText="1"/>
    </xf>
    <xf numFmtId="0" fontId="11" fillId="14" borderId="2" xfId="0" applyFont="1" applyFill="1" applyBorder="1" applyAlignment="1">
      <alignment vertical="center" wrapText="1"/>
    </xf>
    <xf numFmtId="1" fontId="11" fillId="14" borderId="2" xfId="0" applyNumberFormat="1" applyFont="1" applyFill="1" applyBorder="1" applyAlignment="1">
      <alignment horizontal="center" vertical="center" wrapText="1"/>
    </xf>
    <xf numFmtId="14" fontId="17" fillId="14" borderId="2" xfId="0" applyNumberFormat="1" applyFont="1" applyFill="1" applyBorder="1" applyAlignment="1">
      <alignment horizontal="center" vertical="center" wrapText="1"/>
    </xf>
    <xf numFmtId="2" fontId="11" fillId="14" borderId="2" xfId="0" applyNumberFormat="1" applyFont="1" applyFill="1" applyBorder="1" applyAlignment="1">
      <alignment horizontal="center" vertical="center" wrapText="1"/>
    </xf>
    <xf numFmtId="3" fontId="14" fillId="14" borderId="2" xfId="0" applyNumberFormat="1" applyFont="1" applyFill="1" applyBorder="1" applyAlignment="1">
      <alignment horizontal="center" vertical="center" wrapText="1"/>
    </xf>
    <xf numFmtId="44" fontId="11" fillId="14" borderId="2" xfId="3" applyFont="1" applyFill="1" applyBorder="1" applyAlignment="1">
      <alignment horizontal="center"/>
    </xf>
    <xf numFmtId="166" fontId="11" fillId="14" borderId="2" xfId="1" applyNumberFormat="1" applyFont="1" applyFill="1" applyBorder="1" applyAlignment="1">
      <alignment horizontal="right" wrapText="1"/>
    </xf>
    <xf numFmtId="0" fontId="21" fillId="14" borderId="2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 vertical="center"/>
    </xf>
    <xf numFmtId="0" fontId="11" fillId="14" borderId="2" xfId="0" applyFont="1" applyFill="1" applyBorder="1"/>
    <xf numFmtId="0" fontId="11" fillId="14" borderId="0" xfId="0" applyFont="1" applyFill="1"/>
    <xf numFmtId="165" fontId="17" fillId="14" borderId="2" xfId="0" applyNumberFormat="1" applyFont="1" applyFill="1" applyBorder="1" applyAlignment="1">
      <alignment vertical="center" wrapText="1"/>
    </xf>
    <xf numFmtId="0" fontId="17" fillId="14" borderId="2" xfId="0" applyFont="1" applyFill="1" applyBorder="1" applyAlignment="1">
      <alignment vertical="center" wrapText="1"/>
    </xf>
    <xf numFmtId="166" fontId="14" fillId="14" borderId="2" xfId="1" applyNumberFormat="1" applyFont="1" applyFill="1" applyBorder="1" applyAlignment="1">
      <alignment horizontal="right" wrapText="1"/>
    </xf>
    <xf numFmtId="0" fontId="35" fillId="14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/>
    </xf>
    <xf numFmtId="0" fontId="27" fillId="14" borderId="2" xfId="0" applyFont="1" applyFill="1" applyBorder="1" applyAlignment="1">
      <alignment horizontal="center" vertical="center"/>
    </xf>
    <xf numFmtId="3" fontId="21" fillId="14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7" fontId="4" fillId="2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4" fontId="5" fillId="3" borderId="2" xfId="3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0" fillId="2" borderId="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14" fontId="11" fillId="2" borderId="5" xfId="0" applyNumberFormat="1" applyFont="1" applyFill="1" applyBorder="1" applyAlignment="1">
      <alignment horizontal="left" vertical="center"/>
    </xf>
    <xf numFmtId="14" fontId="11" fillId="2" borderId="6" xfId="0" applyNumberFormat="1" applyFont="1" applyFill="1" applyBorder="1" applyAlignment="1">
      <alignment horizontal="left" vertical="center"/>
    </xf>
    <xf numFmtId="14" fontId="11" fillId="2" borderId="7" xfId="0" applyNumberFormat="1" applyFont="1" applyFill="1" applyBorder="1" applyAlignment="1">
      <alignment horizontal="left" vertical="center"/>
    </xf>
    <xf numFmtId="17" fontId="11" fillId="2" borderId="2" xfId="0" applyNumberFormat="1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17" fontId="11" fillId="2" borderId="5" xfId="0" applyNumberFormat="1" applyFont="1" applyFill="1" applyBorder="1" applyAlignment="1">
      <alignment horizontal="left" vertical="center"/>
    </xf>
    <xf numFmtId="17" fontId="11" fillId="2" borderId="7" xfId="0" applyNumberFormat="1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6" fillId="2" borderId="0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44" fontId="15" fillId="5" borderId="2" xfId="3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8" borderId="2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1" fontId="22" fillId="2" borderId="1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1" fontId="10" fillId="7" borderId="1" xfId="0" applyNumberFormat="1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/>
    </xf>
    <xf numFmtId="14" fontId="11" fillId="2" borderId="5" xfId="0" applyNumberFormat="1" applyFont="1" applyFill="1" applyBorder="1" applyAlignment="1">
      <alignment horizontal="left"/>
    </xf>
    <xf numFmtId="14" fontId="11" fillId="2" borderId="6" xfId="0" applyNumberFormat="1" applyFont="1" applyFill="1" applyBorder="1" applyAlignment="1">
      <alignment horizontal="left"/>
    </xf>
    <xf numFmtId="14" fontId="11" fillId="2" borderId="7" xfId="0" applyNumberFormat="1" applyFont="1" applyFill="1" applyBorder="1" applyAlignment="1">
      <alignment horizontal="left"/>
    </xf>
    <xf numFmtId="17" fontId="11" fillId="2" borderId="2" xfId="0" applyNumberFormat="1" applyFont="1" applyFill="1" applyBorder="1" applyAlignment="1">
      <alignment horizontal="left"/>
    </xf>
    <xf numFmtId="17" fontId="11" fillId="2" borderId="5" xfId="0" applyNumberFormat="1" applyFont="1" applyFill="1" applyBorder="1" applyAlignment="1">
      <alignment horizontal="left"/>
    </xf>
    <xf numFmtId="17" fontId="11" fillId="2" borderId="7" xfId="0" applyNumberFormat="1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23" fillId="10" borderId="0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1" fontId="22" fillId="2" borderId="1" xfId="0" applyNumberFormat="1" applyFont="1" applyFill="1" applyBorder="1" applyAlignment="1">
      <alignment horizontal="center" vertical="center" wrapText="1"/>
    </xf>
    <xf numFmtId="1" fontId="10" fillId="7" borderId="6" xfId="0" applyNumberFormat="1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15" fillId="12" borderId="2" xfId="0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left" vertical="center" wrapText="1"/>
    </xf>
    <xf numFmtId="165" fontId="11" fillId="2" borderId="4" xfId="0" applyNumberFormat="1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23" fillId="10" borderId="0" xfId="0" applyFont="1" applyFill="1" applyBorder="1" applyAlignment="1">
      <alignment horizontal="left" vertical="top" wrapText="1"/>
    </xf>
    <xf numFmtId="0" fontId="23" fillId="10" borderId="1" xfId="0" applyFont="1" applyFill="1" applyBorder="1" applyAlignment="1">
      <alignment horizontal="left" vertical="top" wrapText="1"/>
    </xf>
    <xf numFmtId="44" fontId="15" fillId="13" borderId="2" xfId="3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left" vertical="center" wrapText="1"/>
    </xf>
    <xf numFmtId="1" fontId="22" fillId="2" borderId="6" xfId="0" applyNumberFormat="1" applyFont="1" applyFill="1" applyBorder="1" applyAlignment="1">
      <alignment horizontal="center" vertical="center" wrapText="1"/>
    </xf>
    <xf numFmtId="0" fontId="15" fillId="13" borderId="0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1" fontId="22" fillId="2" borderId="2" xfId="0" applyNumberFormat="1" applyFont="1" applyFill="1" applyBorder="1" applyAlignment="1">
      <alignment horizontal="center" vertical="center" wrapText="1"/>
    </xf>
    <xf numFmtId="1" fontId="10" fillId="7" borderId="2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44" fontId="15" fillId="13" borderId="2" xfId="3" applyFont="1" applyFill="1" applyBorder="1" applyAlignment="1">
      <alignment horizontal="left" vertical="center" wrapText="1"/>
    </xf>
    <xf numFmtId="44" fontId="15" fillId="13" borderId="2" xfId="3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center" vertical="center" wrapText="1"/>
    </xf>
  </cellXfs>
  <cellStyles count="4">
    <cellStyle name="Moneda" xfId="1" builtinId="4"/>
    <cellStyle name="Moneda 2" xf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0</xdr:col>
      <xdr:colOff>1714500</xdr:colOff>
      <xdr:row>3</xdr:row>
      <xdr:rowOff>150643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304925" cy="722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84859</xdr:colOff>
      <xdr:row>0</xdr:row>
      <xdr:rowOff>126423</xdr:rowOff>
    </xdr:from>
    <xdr:to>
      <xdr:col>0</xdr:col>
      <xdr:colOff>1582844</xdr:colOff>
      <xdr:row>4</xdr:row>
      <xdr:rowOff>32039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59" y="126423"/>
          <a:ext cx="1497985" cy="6676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84859</xdr:colOff>
      <xdr:row>0</xdr:row>
      <xdr:rowOff>126423</xdr:rowOff>
    </xdr:from>
    <xdr:to>
      <xdr:col>0</xdr:col>
      <xdr:colOff>1582844</xdr:colOff>
      <xdr:row>4</xdr:row>
      <xdr:rowOff>32039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59" y="126423"/>
          <a:ext cx="1497985" cy="6676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2598</xdr:rowOff>
    </xdr:from>
    <xdr:to>
      <xdr:col>0</xdr:col>
      <xdr:colOff>1497985</xdr:colOff>
      <xdr:row>3</xdr:row>
      <xdr:rowOff>98714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8"/>
          <a:ext cx="1497985" cy="6676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2598</xdr:rowOff>
    </xdr:from>
    <xdr:to>
      <xdr:col>0</xdr:col>
      <xdr:colOff>1497985</xdr:colOff>
      <xdr:row>3</xdr:row>
      <xdr:rowOff>98714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8"/>
          <a:ext cx="1497985" cy="6676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2598</xdr:rowOff>
    </xdr:from>
    <xdr:to>
      <xdr:col>0</xdr:col>
      <xdr:colOff>1497985</xdr:colOff>
      <xdr:row>3</xdr:row>
      <xdr:rowOff>98714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8"/>
          <a:ext cx="1497985" cy="667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35943</xdr:colOff>
      <xdr:row>0</xdr:row>
      <xdr:rowOff>38542</xdr:rowOff>
    </xdr:from>
    <xdr:to>
      <xdr:col>0</xdr:col>
      <xdr:colOff>1533928</xdr:colOff>
      <xdr:row>3</xdr:row>
      <xdr:rowOff>134658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3" y="38542"/>
          <a:ext cx="1497985" cy="6676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161068</xdr:colOff>
      <xdr:row>0</xdr:row>
      <xdr:rowOff>176611</xdr:rowOff>
    </xdr:from>
    <xdr:to>
      <xdr:col>0</xdr:col>
      <xdr:colOff>1808852</xdr:colOff>
      <xdr:row>4</xdr:row>
      <xdr:rowOff>148989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068" y="176611"/>
          <a:ext cx="1647784" cy="7343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52786</xdr:rowOff>
    </xdr:from>
    <xdr:to>
      <xdr:col>0</xdr:col>
      <xdr:colOff>1647784</xdr:colOff>
      <xdr:row>3</xdr:row>
      <xdr:rowOff>177564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786"/>
          <a:ext cx="1647784" cy="6962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52786</xdr:rowOff>
    </xdr:from>
    <xdr:to>
      <xdr:col>0</xdr:col>
      <xdr:colOff>1647784</xdr:colOff>
      <xdr:row>3</xdr:row>
      <xdr:rowOff>155339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786"/>
          <a:ext cx="1647784" cy="6740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2371725</xdr:colOff>
      <xdr:row>6</xdr:row>
      <xdr:rowOff>152399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371725" cy="12382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mos%20Energ&#237;a%20octubre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"/>
      <sheetName val="FEBRERO"/>
      <sheetName val="COSTOS FEBRERO"/>
      <sheetName val="MARZO"/>
      <sheetName val="COSTOS MARZO"/>
      <sheetName val="VILLA SAN PABLO"/>
      <sheetName val="Grafico"/>
      <sheetName val="ABRIL"/>
      <sheetName val="COSTOS ABRIL"/>
      <sheetName val="INDICADOR"/>
      <sheetName val="MAYO"/>
      <sheetName val="JUNIO"/>
      <sheetName val="JULIO"/>
      <sheetName val="AGOSTO"/>
      <sheetName val="SEPTIEMBRE "/>
      <sheetName val="OCTUBR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71">
          <cell r="J71">
            <v>345372006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F22" sqref="F22"/>
    </sheetView>
  </sheetViews>
  <sheetFormatPr baseColWidth="10" defaultColWidth="31" defaultRowHeight="15" x14ac:dyDescent="0.25"/>
  <cols>
    <col min="2" max="2" width="27.7109375" customWidth="1"/>
    <col min="3" max="3" width="14.7109375" customWidth="1"/>
    <col min="4" max="4" width="14.140625" customWidth="1"/>
    <col min="5" max="5" width="17" customWidth="1"/>
    <col min="6" max="6" width="13.7109375" customWidth="1"/>
    <col min="7" max="7" width="13.7109375" bestFit="1" customWidth="1"/>
    <col min="8" max="8" width="11.140625" customWidth="1"/>
    <col min="9" max="9" width="13.42578125" bestFit="1" customWidth="1"/>
    <col min="10" max="10" width="15" bestFit="1" customWidth="1"/>
    <col min="11" max="11" width="12.28515625" customWidth="1"/>
    <col min="12" max="12" width="15.28515625" bestFit="1" customWidth="1"/>
    <col min="13" max="13" width="18.28515625" bestFit="1" customWidth="1"/>
  </cols>
  <sheetData>
    <row r="1" spans="1:13" s="1" customFormat="1" x14ac:dyDescent="0.25"/>
    <row r="2" spans="1:13" s="1" customFormat="1" x14ac:dyDescent="0.25">
      <c r="D2" s="2" t="s">
        <v>0</v>
      </c>
      <c r="E2" s="298" t="s">
        <v>1</v>
      </c>
      <c r="F2" s="298"/>
    </row>
    <row r="3" spans="1:13" s="1" customFormat="1" x14ac:dyDescent="0.25">
      <c r="D3" s="3" t="s">
        <v>2</v>
      </c>
      <c r="E3" s="299">
        <v>43101</v>
      </c>
      <c r="F3" s="299"/>
    </row>
    <row r="4" spans="1:13" s="1" customFormat="1" x14ac:dyDescent="0.25">
      <c r="G4" s="300">
        <v>43100</v>
      </c>
      <c r="H4" s="300"/>
      <c r="I4" s="4">
        <v>43131</v>
      </c>
    </row>
    <row r="5" spans="1:13" s="1" customFormat="1" x14ac:dyDescent="0.25">
      <c r="A5" s="301" t="s">
        <v>3</v>
      </c>
      <c r="B5" s="301" t="s">
        <v>4</v>
      </c>
      <c r="C5" s="301" t="s">
        <v>5</v>
      </c>
      <c r="D5" s="301" t="s">
        <v>6</v>
      </c>
      <c r="E5" s="301"/>
      <c r="F5" s="5" t="s">
        <v>7</v>
      </c>
      <c r="G5" s="302" t="s">
        <v>8</v>
      </c>
      <c r="H5" s="302" t="s">
        <v>9</v>
      </c>
      <c r="I5" s="302" t="s">
        <v>10</v>
      </c>
      <c r="J5" s="304" t="s">
        <v>11</v>
      </c>
      <c r="K5" s="304" t="s">
        <v>12</v>
      </c>
      <c r="L5" s="304" t="s">
        <v>13</v>
      </c>
      <c r="M5" s="304" t="s">
        <v>14</v>
      </c>
    </row>
    <row r="6" spans="1:13" s="1" customFormat="1" x14ac:dyDescent="0.25">
      <c r="A6" s="301"/>
      <c r="B6" s="301"/>
      <c r="C6" s="301"/>
      <c r="D6" s="6" t="s">
        <v>15</v>
      </c>
      <c r="E6" s="6" t="s">
        <v>16</v>
      </c>
      <c r="F6" s="6" t="s">
        <v>17</v>
      </c>
      <c r="G6" s="303"/>
      <c r="H6" s="303"/>
      <c r="I6" s="303"/>
      <c r="J6" s="304"/>
      <c r="K6" s="304" t="s">
        <v>12</v>
      </c>
      <c r="L6" s="304"/>
      <c r="M6" s="304"/>
    </row>
    <row r="7" spans="1:13" s="1" customFormat="1" x14ac:dyDescent="0.25">
      <c r="A7" s="7" t="s">
        <v>18</v>
      </c>
      <c r="B7" s="8" t="s">
        <v>19</v>
      </c>
      <c r="C7" s="9">
        <v>2011839</v>
      </c>
      <c r="D7" s="10">
        <v>43084</v>
      </c>
      <c r="E7" s="10">
        <v>43115</v>
      </c>
      <c r="F7" s="11">
        <v>51360</v>
      </c>
      <c r="G7" s="11">
        <v>31</v>
      </c>
      <c r="H7" s="12">
        <f t="shared" ref="H7:H17" si="0">$G$4-D7</f>
        <v>16</v>
      </c>
      <c r="I7" s="12">
        <f>+G7-H7</f>
        <v>15</v>
      </c>
      <c r="J7" s="13">
        <v>23506180</v>
      </c>
      <c r="K7" s="13">
        <f>+J7/G7</f>
        <v>758263.87096774194</v>
      </c>
      <c r="L7" s="13">
        <f>+K7*H7</f>
        <v>12132221.935483871</v>
      </c>
      <c r="M7" s="13">
        <f>+K7*I7</f>
        <v>11373958.064516129</v>
      </c>
    </row>
    <row r="8" spans="1:13" s="1" customFormat="1" x14ac:dyDescent="0.25">
      <c r="A8" s="7" t="s">
        <v>20</v>
      </c>
      <c r="B8" s="8" t="s">
        <v>19</v>
      </c>
      <c r="C8" s="9">
        <v>2018732</v>
      </c>
      <c r="D8" s="10">
        <v>43085</v>
      </c>
      <c r="E8" s="10">
        <v>43118</v>
      </c>
      <c r="F8" s="11">
        <v>2666</v>
      </c>
      <c r="G8" s="11">
        <v>33</v>
      </c>
      <c r="H8" s="12">
        <f t="shared" si="0"/>
        <v>15</v>
      </c>
      <c r="I8" s="12">
        <f t="shared" ref="I8:I19" si="1">+G8-H8</f>
        <v>18</v>
      </c>
      <c r="J8" s="13">
        <v>1156480</v>
      </c>
      <c r="K8" s="13">
        <f t="shared" ref="K8:K59" si="2">+J8/G8</f>
        <v>35044.848484848488</v>
      </c>
      <c r="L8" s="13">
        <f t="shared" ref="L8:L59" si="3">+K8*H8</f>
        <v>525672.72727272729</v>
      </c>
      <c r="M8" s="13">
        <f t="shared" ref="M8:M59" si="4">+K8*I8</f>
        <v>630807.27272727282</v>
      </c>
    </row>
    <row r="9" spans="1:13" s="1" customFormat="1" x14ac:dyDescent="0.25">
      <c r="A9" s="7" t="s">
        <v>21</v>
      </c>
      <c r="B9" s="8" t="s">
        <v>19</v>
      </c>
      <c r="C9" s="9">
        <v>5368976</v>
      </c>
      <c r="D9" s="10">
        <v>43084</v>
      </c>
      <c r="E9" s="10">
        <v>43115</v>
      </c>
      <c r="F9" s="11"/>
      <c r="G9" s="11">
        <v>31</v>
      </c>
      <c r="H9" s="12">
        <f t="shared" si="0"/>
        <v>16</v>
      </c>
      <c r="I9" s="12">
        <f t="shared" si="1"/>
        <v>15</v>
      </c>
      <c r="J9" s="13">
        <v>0</v>
      </c>
      <c r="K9" s="13">
        <f t="shared" si="2"/>
        <v>0</v>
      </c>
      <c r="L9" s="13">
        <f t="shared" si="3"/>
        <v>0</v>
      </c>
      <c r="M9" s="13">
        <f t="shared" si="4"/>
        <v>0</v>
      </c>
    </row>
    <row r="10" spans="1:13" s="1" customFormat="1" x14ac:dyDescent="0.25">
      <c r="A10" s="7" t="s">
        <v>22</v>
      </c>
      <c r="B10" s="8" t="s">
        <v>19</v>
      </c>
      <c r="C10" s="9">
        <v>6635543</v>
      </c>
      <c r="D10" s="10">
        <v>43084</v>
      </c>
      <c r="E10" s="10">
        <v>43115</v>
      </c>
      <c r="F10" s="11">
        <v>15120</v>
      </c>
      <c r="G10" s="11">
        <v>31</v>
      </c>
      <c r="H10" s="12">
        <f t="shared" si="0"/>
        <v>16</v>
      </c>
      <c r="I10" s="12">
        <f t="shared" si="1"/>
        <v>15</v>
      </c>
      <c r="J10" s="13">
        <v>6840800</v>
      </c>
      <c r="K10" s="13">
        <f t="shared" si="2"/>
        <v>220670.96774193548</v>
      </c>
      <c r="L10" s="13">
        <f t="shared" si="3"/>
        <v>3530735.4838709678</v>
      </c>
      <c r="M10" s="13">
        <f t="shared" si="4"/>
        <v>3310064.5161290322</v>
      </c>
    </row>
    <row r="11" spans="1:13" s="1" customFormat="1" x14ac:dyDescent="0.25">
      <c r="A11" s="7" t="s">
        <v>23</v>
      </c>
      <c r="B11" s="8" t="s">
        <v>24</v>
      </c>
      <c r="C11" s="9">
        <v>2004344</v>
      </c>
      <c r="D11" s="10">
        <v>43088</v>
      </c>
      <c r="E11" s="10">
        <v>43120</v>
      </c>
      <c r="F11" s="11">
        <v>10640</v>
      </c>
      <c r="G11" s="11">
        <v>32</v>
      </c>
      <c r="H11" s="12">
        <f t="shared" si="0"/>
        <v>12</v>
      </c>
      <c r="I11" s="12">
        <f t="shared" si="1"/>
        <v>20</v>
      </c>
      <c r="J11" s="13">
        <v>4263130</v>
      </c>
      <c r="K11" s="13">
        <f t="shared" si="2"/>
        <v>133222.8125</v>
      </c>
      <c r="L11" s="13">
        <f t="shared" si="3"/>
        <v>1598673.75</v>
      </c>
      <c r="M11" s="13">
        <f t="shared" si="4"/>
        <v>2664456.25</v>
      </c>
    </row>
    <row r="12" spans="1:13" s="1" customFormat="1" x14ac:dyDescent="0.25">
      <c r="A12" s="7" t="s">
        <v>25</v>
      </c>
      <c r="B12" s="8" t="s">
        <v>24</v>
      </c>
      <c r="C12" s="9">
        <v>2018405</v>
      </c>
      <c r="D12" s="10">
        <v>43088</v>
      </c>
      <c r="E12" s="10">
        <v>43120</v>
      </c>
      <c r="F12" s="11">
        <v>7240</v>
      </c>
      <c r="G12" s="11">
        <v>32</v>
      </c>
      <c r="H12" s="12">
        <f t="shared" si="0"/>
        <v>12</v>
      </c>
      <c r="I12" s="12">
        <f t="shared" si="1"/>
        <v>20</v>
      </c>
      <c r="J12" s="13">
        <v>2900860</v>
      </c>
      <c r="K12" s="13">
        <f t="shared" si="2"/>
        <v>90651.875</v>
      </c>
      <c r="L12" s="13">
        <f t="shared" si="3"/>
        <v>1087822.5</v>
      </c>
      <c r="M12" s="13">
        <f t="shared" si="4"/>
        <v>1813037.5</v>
      </c>
    </row>
    <row r="13" spans="1:13" s="1" customFormat="1" x14ac:dyDescent="0.25">
      <c r="A13" s="7" t="s">
        <v>26</v>
      </c>
      <c r="B13" s="8" t="s">
        <v>24</v>
      </c>
      <c r="C13" s="9">
        <v>4328759</v>
      </c>
      <c r="D13" s="10">
        <v>43090</v>
      </c>
      <c r="E13" s="10">
        <v>43123</v>
      </c>
      <c r="F13" s="11">
        <v>3665</v>
      </c>
      <c r="G13" s="11">
        <v>33</v>
      </c>
      <c r="H13" s="12">
        <f t="shared" si="0"/>
        <v>10</v>
      </c>
      <c r="I13" s="12">
        <f t="shared" si="1"/>
        <v>23</v>
      </c>
      <c r="J13" s="13">
        <v>1589840</v>
      </c>
      <c r="K13" s="13">
        <f t="shared" si="2"/>
        <v>48176.969696969696</v>
      </c>
      <c r="L13" s="13">
        <f t="shared" si="3"/>
        <v>481769.69696969696</v>
      </c>
      <c r="M13" s="13">
        <f t="shared" si="4"/>
        <v>1108070.303030303</v>
      </c>
    </row>
    <row r="14" spans="1:13" s="1" customFormat="1" x14ac:dyDescent="0.25">
      <c r="A14" s="7" t="s">
        <v>27</v>
      </c>
      <c r="B14" s="8" t="s">
        <v>24</v>
      </c>
      <c r="C14" s="9">
        <v>4328760</v>
      </c>
      <c r="D14" s="10">
        <v>43090</v>
      </c>
      <c r="E14" s="10">
        <v>43123</v>
      </c>
      <c r="F14" s="11">
        <v>3231</v>
      </c>
      <c r="G14" s="11">
        <v>33</v>
      </c>
      <c r="H14" s="12">
        <f t="shared" si="0"/>
        <v>10</v>
      </c>
      <c r="I14" s="12">
        <f t="shared" si="1"/>
        <v>23</v>
      </c>
      <c r="J14" s="13">
        <v>1401580</v>
      </c>
      <c r="K14" s="13">
        <f t="shared" si="2"/>
        <v>42472.121212121216</v>
      </c>
      <c r="L14" s="13">
        <f t="shared" si="3"/>
        <v>424721.21212121216</v>
      </c>
      <c r="M14" s="13">
        <f t="shared" si="4"/>
        <v>976858.78787878796</v>
      </c>
    </row>
    <row r="15" spans="1:13" s="1" customFormat="1" x14ac:dyDescent="0.25">
      <c r="A15" s="7" t="s">
        <v>28</v>
      </c>
      <c r="B15" s="8" t="s">
        <v>24</v>
      </c>
      <c r="C15" s="9">
        <v>4328762</v>
      </c>
      <c r="D15" s="10">
        <v>43090</v>
      </c>
      <c r="E15" s="10">
        <v>43123</v>
      </c>
      <c r="F15" s="11">
        <v>1378</v>
      </c>
      <c r="G15" s="11">
        <v>33</v>
      </c>
      <c r="H15" s="12">
        <f t="shared" si="0"/>
        <v>10</v>
      </c>
      <c r="I15" s="12">
        <f t="shared" si="1"/>
        <v>23</v>
      </c>
      <c r="J15" s="13">
        <v>552120</v>
      </c>
      <c r="K15" s="13">
        <f t="shared" si="2"/>
        <v>16730.909090909092</v>
      </c>
      <c r="L15" s="13">
        <f t="shared" si="3"/>
        <v>167309.09090909091</v>
      </c>
      <c r="M15" s="13">
        <f t="shared" si="4"/>
        <v>384810.90909090912</v>
      </c>
    </row>
    <row r="16" spans="1:13" s="1" customFormat="1" x14ac:dyDescent="0.25">
      <c r="A16" s="7" t="s">
        <v>29</v>
      </c>
      <c r="B16" s="8" t="s">
        <v>24</v>
      </c>
      <c r="C16" s="9">
        <v>5874257</v>
      </c>
      <c r="D16" s="10">
        <v>43088</v>
      </c>
      <c r="E16" s="10">
        <v>43120</v>
      </c>
      <c r="F16" s="11">
        <v>13440</v>
      </c>
      <c r="G16" s="11">
        <v>32</v>
      </c>
      <c r="H16" s="12">
        <f t="shared" si="0"/>
        <v>12</v>
      </c>
      <c r="I16" s="12">
        <f t="shared" si="1"/>
        <v>20</v>
      </c>
      <c r="J16" s="13">
        <v>5385000</v>
      </c>
      <c r="K16" s="13">
        <f t="shared" si="2"/>
        <v>168281.25</v>
      </c>
      <c r="L16" s="13">
        <f t="shared" si="3"/>
        <v>2019375</v>
      </c>
      <c r="M16" s="13">
        <f t="shared" si="4"/>
        <v>3365625</v>
      </c>
    </row>
    <row r="17" spans="1:13" s="1" customFormat="1" x14ac:dyDescent="0.25">
      <c r="A17" s="7" t="s">
        <v>30</v>
      </c>
      <c r="B17" s="14" t="s">
        <v>31</v>
      </c>
      <c r="C17" s="9">
        <v>2019015</v>
      </c>
      <c r="D17" s="10">
        <v>43089</v>
      </c>
      <c r="E17" s="10">
        <v>43124</v>
      </c>
      <c r="F17" s="11">
        <v>33000</v>
      </c>
      <c r="G17" s="11">
        <v>35</v>
      </c>
      <c r="H17" s="12">
        <f t="shared" si="0"/>
        <v>11</v>
      </c>
      <c r="I17" s="12">
        <f t="shared" si="1"/>
        <v>24</v>
      </c>
      <c r="J17" s="13">
        <v>14928280</v>
      </c>
      <c r="K17" s="13">
        <f t="shared" si="2"/>
        <v>426522.28571428574</v>
      </c>
      <c r="L17" s="13">
        <f t="shared" si="3"/>
        <v>4691745.1428571427</v>
      </c>
      <c r="M17" s="13">
        <f t="shared" si="4"/>
        <v>10236534.857142858</v>
      </c>
    </row>
    <row r="18" spans="1:13" s="1" customFormat="1" x14ac:dyDescent="0.25">
      <c r="A18" s="7" t="s">
        <v>32</v>
      </c>
      <c r="B18" s="8" t="s">
        <v>33</v>
      </c>
      <c r="C18" s="9">
        <v>6923412</v>
      </c>
      <c r="D18" s="10">
        <v>43064</v>
      </c>
      <c r="E18" s="10">
        <v>43090</v>
      </c>
      <c r="F18" s="11">
        <v>31680</v>
      </c>
      <c r="G18" s="11">
        <v>26</v>
      </c>
      <c r="H18" s="12">
        <v>26</v>
      </c>
      <c r="I18" s="12">
        <f t="shared" si="1"/>
        <v>0</v>
      </c>
      <c r="J18" s="13">
        <v>14344230</v>
      </c>
      <c r="K18" s="13">
        <f t="shared" si="2"/>
        <v>551701.15384615387</v>
      </c>
      <c r="L18" s="13">
        <f t="shared" si="3"/>
        <v>14344230</v>
      </c>
      <c r="M18" s="13">
        <f t="shared" si="4"/>
        <v>0</v>
      </c>
    </row>
    <row r="19" spans="1:13" s="1" customFormat="1" x14ac:dyDescent="0.25">
      <c r="A19" s="15" t="s">
        <v>34</v>
      </c>
      <c r="B19" s="16" t="s">
        <v>35</v>
      </c>
      <c r="C19" s="17">
        <v>2313737</v>
      </c>
      <c r="D19" s="18">
        <v>43091</v>
      </c>
      <c r="E19" s="18">
        <v>43123</v>
      </c>
      <c r="F19" s="11">
        <v>33000</v>
      </c>
      <c r="G19" s="11">
        <v>32</v>
      </c>
      <c r="H19" s="12">
        <f>$G$4-D19</f>
        <v>9</v>
      </c>
      <c r="I19" s="12">
        <f t="shared" si="1"/>
        <v>23</v>
      </c>
      <c r="J19" s="13">
        <v>15115380</v>
      </c>
      <c r="K19" s="13">
        <f t="shared" si="2"/>
        <v>472355.625</v>
      </c>
      <c r="L19" s="13">
        <f t="shared" si="3"/>
        <v>4251200.625</v>
      </c>
      <c r="M19" s="13">
        <f t="shared" si="4"/>
        <v>10864179.375</v>
      </c>
    </row>
    <row r="20" spans="1:13" s="1" customFormat="1" x14ac:dyDescent="0.25">
      <c r="A20" s="7" t="s">
        <v>36</v>
      </c>
      <c r="B20" s="8" t="s">
        <v>37</v>
      </c>
      <c r="C20" s="9">
        <v>6950624</v>
      </c>
      <c r="D20" s="10">
        <v>43087</v>
      </c>
      <c r="E20" s="10">
        <v>43116</v>
      </c>
      <c r="F20" s="11">
        <v>40257</v>
      </c>
      <c r="G20" s="11">
        <v>29</v>
      </c>
      <c r="H20" s="12">
        <f>$G$4-D20</f>
        <v>13</v>
      </c>
      <c r="I20" s="12">
        <f>+G20-H20</f>
        <v>16</v>
      </c>
      <c r="J20" s="13">
        <v>18198720</v>
      </c>
      <c r="K20" s="13">
        <f t="shared" si="2"/>
        <v>627542.06896551722</v>
      </c>
      <c r="L20" s="13">
        <f t="shared" si="3"/>
        <v>8158046.8965517236</v>
      </c>
      <c r="M20" s="13">
        <f t="shared" si="4"/>
        <v>10040673.103448275</v>
      </c>
    </row>
    <row r="21" spans="1:13" s="1" customFormat="1" x14ac:dyDescent="0.25">
      <c r="A21" s="7" t="s">
        <v>38</v>
      </c>
      <c r="B21" s="8" t="s">
        <v>39</v>
      </c>
      <c r="C21" s="9">
        <v>6831837</v>
      </c>
      <c r="D21" s="10">
        <v>43063</v>
      </c>
      <c r="E21" s="10">
        <v>43090</v>
      </c>
      <c r="F21" s="11">
        <v>44220</v>
      </c>
      <c r="G21" s="11">
        <v>27</v>
      </c>
      <c r="H21" s="12">
        <v>27</v>
      </c>
      <c r="I21" s="12">
        <f t="shared" ref="I21:I59" si="5">+G21-H21</f>
        <v>0</v>
      </c>
      <c r="J21" s="13">
        <v>19801580</v>
      </c>
      <c r="K21" s="13">
        <f t="shared" si="2"/>
        <v>733391.8518518518</v>
      </c>
      <c r="L21" s="13">
        <f t="shared" si="3"/>
        <v>19801580</v>
      </c>
      <c r="M21" s="13">
        <f t="shared" si="4"/>
        <v>0</v>
      </c>
    </row>
    <row r="22" spans="1:13" s="1" customFormat="1" x14ac:dyDescent="0.25">
      <c r="A22" s="7" t="s">
        <v>40</v>
      </c>
      <c r="B22" s="8" t="s">
        <v>41</v>
      </c>
      <c r="C22" s="9">
        <v>2011897</v>
      </c>
      <c r="D22" s="19">
        <v>43088</v>
      </c>
      <c r="E22" s="19">
        <v>43120</v>
      </c>
      <c r="F22" s="11">
        <v>147400</v>
      </c>
      <c r="G22" s="11">
        <v>32</v>
      </c>
      <c r="H22" s="12">
        <f t="shared" ref="H22:H45" si="6">$G$4-D22</f>
        <v>12</v>
      </c>
      <c r="I22" s="12">
        <f t="shared" si="5"/>
        <v>20</v>
      </c>
      <c r="J22" s="13">
        <v>68346690</v>
      </c>
      <c r="K22" s="13">
        <f t="shared" si="2"/>
        <v>2135834.0625</v>
      </c>
      <c r="L22" s="13">
        <f t="shared" si="3"/>
        <v>25630008.75</v>
      </c>
      <c r="M22" s="13">
        <f t="shared" si="4"/>
        <v>42716681.25</v>
      </c>
    </row>
    <row r="23" spans="1:13" s="1" customFormat="1" x14ac:dyDescent="0.25">
      <c r="A23" s="7" t="s">
        <v>42</v>
      </c>
      <c r="B23" s="8" t="s">
        <v>43</v>
      </c>
      <c r="C23" s="9">
        <v>2000067</v>
      </c>
      <c r="D23" s="19">
        <v>43090</v>
      </c>
      <c r="E23" s="19">
        <v>43124</v>
      </c>
      <c r="F23" s="11">
        <v>24640</v>
      </c>
      <c r="G23" s="11">
        <v>34</v>
      </c>
      <c r="H23" s="12">
        <f t="shared" si="6"/>
        <v>10</v>
      </c>
      <c r="I23" s="12">
        <f t="shared" si="5"/>
        <v>24</v>
      </c>
      <c r="J23" s="13">
        <v>11064990</v>
      </c>
      <c r="K23" s="13">
        <f t="shared" si="2"/>
        <v>325440.8823529412</v>
      </c>
      <c r="L23" s="13">
        <f t="shared" si="3"/>
        <v>3254408.823529412</v>
      </c>
      <c r="M23" s="13">
        <f t="shared" si="4"/>
        <v>7810581.1764705889</v>
      </c>
    </row>
    <row r="24" spans="1:13" s="1" customFormat="1" x14ac:dyDescent="0.25">
      <c r="A24" s="7" t="s">
        <v>44</v>
      </c>
      <c r="B24" s="8" t="s">
        <v>45</v>
      </c>
      <c r="C24" s="9">
        <v>7759707</v>
      </c>
      <c r="D24" s="10">
        <v>43084</v>
      </c>
      <c r="E24" s="10">
        <v>43117</v>
      </c>
      <c r="F24" s="11">
        <v>20680</v>
      </c>
      <c r="G24" s="11">
        <v>33</v>
      </c>
      <c r="H24" s="12">
        <f t="shared" si="6"/>
        <v>16</v>
      </c>
      <c r="I24" s="12">
        <f t="shared" si="5"/>
        <v>17</v>
      </c>
      <c r="J24" s="13">
        <v>1051000</v>
      </c>
      <c r="K24" s="13">
        <f t="shared" si="2"/>
        <v>31848.484848484848</v>
      </c>
      <c r="L24" s="13">
        <f t="shared" si="3"/>
        <v>509575.75757575757</v>
      </c>
      <c r="M24" s="13">
        <f t="shared" si="4"/>
        <v>541424.24242424243</v>
      </c>
    </row>
    <row r="25" spans="1:13" s="1" customFormat="1" x14ac:dyDescent="0.25">
      <c r="A25" s="7" t="s">
        <v>46</v>
      </c>
      <c r="B25" s="8" t="s">
        <v>47</v>
      </c>
      <c r="C25" s="9">
        <v>7674119</v>
      </c>
      <c r="D25" s="10">
        <v>43090</v>
      </c>
      <c r="E25" s="10">
        <v>43122</v>
      </c>
      <c r="F25" s="11">
        <v>167</v>
      </c>
      <c r="G25" s="11">
        <v>32</v>
      </c>
      <c r="H25" s="12">
        <f t="shared" si="6"/>
        <v>10</v>
      </c>
      <c r="I25" s="12">
        <f t="shared" si="5"/>
        <v>22</v>
      </c>
      <c r="J25" s="13">
        <v>72440</v>
      </c>
      <c r="K25" s="13">
        <f t="shared" si="2"/>
        <v>2263.75</v>
      </c>
      <c r="L25" s="13">
        <f t="shared" si="3"/>
        <v>22637.5</v>
      </c>
      <c r="M25" s="13">
        <f t="shared" si="4"/>
        <v>49802.5</v>
      </c>
    </row>
    <row r="26" spans="1:13" s="1" customFormat="1" x14ac:dyDescent="0.25">
      <c r="A26" s="7" t="s">
        <v>48</v>
      </c>
      <c r="B26" s="8" t="s">
        <v>49</v>
      </c>
      <c r="C26" s="9">
        <v>2344622</v>
      </c>
      <c r="D26" s="10">
        <v>43085</v>
      </c>
      <c r="E26" s="10">
        <v>43118</v>
      </c>
      <c r="F26" s="11">
        <v>1140</v>
      </c>
      <c r="G26" s="11">
        <v>33</v>
      </c>
      <c r="H26" s="12">
        <f t="shared" si="6"/>
        <v>15</v>
      </c>
      <c r="I26" s="12">
        <f t="shared" si="5"/>
        <v>18</v>
      </c>
      <c r="J26" s="13">
        <v>494520</v>
      </c>
      <c r="K26" s="13">
        <f t="shared" si="2"/>
        <v>14985.454545454546</v>
      </c>
      <c r="L26" s="13">
        <f t="shared" si="3"/>
        <v>224781.81818181818</v>
      </c>
      <c r="M26" s="13">
        <f t="shared" si="4"/>
        <v>269738.18181818182</v>
      </c>
    </row>
    <row r="27" spans="1:13" s="1" customFormat="1" x14ac:dyDescent="0.25">
      <c r="A27" s="7" t="s">
        <v>50</v>
      </c>
      <c r="B27" s="8" t="s">
        <v>51</v>
      </c>
      <c r="C27" s="9">
        <v>2260912</v>
      </c>
      <c r="D27" s="10">
        <v>43082</v>
      </c>
      <c r="E27" s="10">
        <v>43115</v>
      </c>
      <c r="F27" s="11">
        <v>155</v>
      </c>
      <c r="G27" s="11">
        <v>33</v>
      </c>
      <c r="H27" s="12">
        <f t="shared" si="6"/>
        <v>18</v>
      </c>
      <c r="I27" s="12">
        <f t="shared" si="5"/>
        <v>15</v>
      </c>
      <c r="J27" s="13">
        <v>67230</v>
      </c>
      <c r="K27" s="13">
        <f t="shared" si="2"/>
        <v>2037.2727272727273</v>
      </c>
      <c r="L27" s="13">
        <f t="shared" si="3"/>
        <v>36670.909090909088</v>
      </c>
      <c r="M27" s="13">
        <f t="shared" si="4"/>
        <v>30559.090909090908</v>
      </c>
    </row>
    <row r="28" spans="1:13" s="1" customFormat="1" x14ac:dyDescent="0.25">
      <c r="A28" s="7" t="s">
        <v>52</v>
      </c>
      <c r="B28" s="8" t="s">
        <v>53</v>
      </c>
      <c r="C28" s="9">
        <v>6831966</v>
      </c>
      <c r="D28" s="10">
        <v>43085</v>
      </c>
      <c r="E28" s="10">
        <v>43118</v>
      </c>
      <c r="F28" s="11">
        <v>7360</v>
      </c>
      <c r="G28" s="11">
        <v>33</v>
      </c>
      <c r="H28" s="12">
        <f t="shared" si="6"/>
        <v>15</v>
      </c>
      <c r="I28" s="12">
        <f t="shared" si="5"/>
        <v>18</v>
      </c>
      <c r="J28" s="13">
        <v>3513830</v>
      </c>
      <c r="K28" s="13">
        <f t="shared" si="2"/>
        <v>106479.69696969698</v>
      </c>
      <c r="L28" s="13">
        <f t="shared" si="3"/>
        <v>1597195.4545454546</v>
      </c>
      <c r="M28" s="13">
        <f t="shared" si="4"/>
        <v>1916634.5454545456</v>
      </c>
    </row>
    <row r="29" spans="1:13" s="1" customFormat="1" x14ac:dyDescent="0.25">
      <c r="A29" s="7" t="s">
        <v>54</v>
      </c>
      <c r="B29" s="8" t="s">
        <v>55</v>
      </c>
      <c r="C29" s="9">
        <v>6554457</v>
      </c>
      <c r="D29" s="10">
        <v>43091</v>
      </c>
      <c r="E29" s="10">
        <v>43119</v>
      </c>
      <c r="F29" s="11">
        <v>8</v>
      </c>
      <c r="G29" s="11">
        <v>28</v>
      </c>
      <c r="H29" s="12">
        <f t="shared" si="6"/>
        <v>9</v>
      </c>
      <c r="I29" s="12">
        <f t="shared" si="5"/>
        <v>19</v>
      </c>
      <c r="J29" s="13">
        <v>3470</v>
      </c>
      <c r="K29" s="13">
        <f t="shared" si="2"/>
        <v>123.92857142857143</v>
      </c>
      <c r="L29" s="13">
        <f t="shared" si="3"/>
        <v>1115.3571428571429</v>
      </c>
      <c r="M29" s="13">
        <f t="shared" si="4"/>
        <v>2354.6428571428573</v>
      </c>
    </row>
    <row r="30" spans="1:13" s="1" customFormat="1" x14ac:dyDescent="0.25">
      <c r="A30" s="7" t="s">
        <v>56</v>
      </c>
      <c r="B30" s="8" t="s">
        <v>57</v>
      </c>
      <c r="C30" s="9">
        <v>6566213</v>
      </c>
      <c r="D30" s="10">
        <v>43091</v>
      </c>
      <c r="E30" s="10">
        <v>43119</v>
      </c>
      <c r="F30" s="11">
        <v>1</v>
      </c>
      <c r="G30" s="11">
        <v>28</v>
      </c>
      <c r="H30" s="12">
        <f t="shared" si="6"/>
        <v>9</v>
      </c>
      <c r="I30" s="12">
        <f t="shared" si="5"/>
        <v>19</v>
      </c>
      <c r="J30" s="13">
        <v>430</v>
      </c>
      <c r="K30" s="13">
        <f t="shared" si="2"/>
        <v>15.357142857142858</v>
      </c>
      <c r="L30" s="13">
        <f t="shared" si="3"/>
        <v>138.21428571428572</v>
      </c>
      <c r="M30" s="13">
        <f t="shared" si="4"/>
        <v>291.78571428571428</v>
      </c>
    </row>
    <row r="31" spans="1:13" s="1" customFormat="1" x14ac:dyDescent="0.25">
      <c r="A31" s="7" t="s">
        <v>58</v>
      </c>
      <c r="B31" s="8" t="s">
        <v>59</v>
      </c>
      <c r="C31" s="9">
        <v>2017256</v>
      </c>
      <c r="D31" s="10">
        <v>43089</v>
      </c>
      <c r="E31" s="10">
        <v>43125</v>
      </c>
      <c r="F31" s="11">
        <v>7040</v>
      </c>
      <c r="G31" s="11">
        <v>36</v>
      </c>
      <c r="H31" s="12">
        <f t="shared" si="6"/>
        <v>11</v>
      </c>
      <c r="I31" s="12">
        <f t="shared" si="5"/>
        <v>25</v>
      </c>
      <c r="J31" s="13">
        <v>3053880</v>
      </c>
      <c r="K31" s="13">
        <f t="shared" si="2"/>
        <v>84830</v>
      </c>
      <c r="L31" s="13">
        <f t="shared" si="3"/>
        <v>933130</v>
      </c>
      <c r="M31" s="13">
        <f t="shared" si="4"/>
        <v>2120750</v>
      </c>
    </row>
    <row r="32" spans="1:13" s="1" customFormat="1" x14ac:dyDescent="0.25">
      <c r="A32" s="7" t="s">
        <v>60</v>
      </c>
      <c r="B32" s="8" t="s">
        <v>61</v>
      </c>
      <c r="C32" s="9">
        <v>2003465</v>
      </c>
      <c r="D32" s="10">
        <v>43084</v>
      </c>
      <c r="E32" s="10">
        <v>43116</v>
      </c>
      <c r="F32" s="11">
        <v>24320</v>
      </c>
      <c r="G32" s="11">
        <v>32</v>
      </c>
      <c r="H32" s="12">
        <f t="shared" si="6"/>
        <v>16</v>
      </c>
      <c r="I32" s="12">
        <f t="shared" si="5"/>
        <v>16</v>
      </c>
      <c r="J32" s="13">
        <v>10549780</v>
      </c>
      <c r="K32" s="13">
        <f t="shared" si="2"/>
        <v>329680.625</v>
      </c>
      <c r="L32" s="13">
        <f t="shared" si="3"/>
        <v>5274890</v>
      </c>
      <c r="M32" s="13">
        <f t="shared" si="4"/>
        <v>5274890</v>
      </c>
    </row>
    <row r="33" spans="1:13" s="1" customFormat="1" x14ac:dyDescent="0.25">
      <c r="A33" s="7" t="s">
        <v>62</v>
      </c>
      <c r="B33" s="14" t="s">
        <v>63</v>
      </c>
      <c r="C33" s="9">
        <v>2000038</v>
      </c>
      <c r="D33" s="10">
        <v>43085</v>
      </c>
      <c r="E33" s="10">
        <v>43118</v>
      </c>
      <c r="F33" s="11">
        <v>2560</v>
      </c>
      <c r="G33" s="11">
        <v>33</v>
      </c>
      <c r="H33" s="12">
        <f t="shared" si="6"/>
        <v>15</v>
      </c>
      <c r="I33" s="12">
        <f t="shared" si="5"/>
        <v>18</v>
      </c>
      <c r="J33" s="13">
        <v>1025710</v>
      </c>
      <c r="K33" s="13">
        <f t="shared" si="2"/>
        <v>31082.121212121212</v>
      </c>
      <c r="L33" s="13">
        <f t="shared" si="3"/>
        <v>466231.81818181818</v>
      </c>
      <c r="M33" s="13">
        <f t="shared" si="4"/>
        <v>559478.18181818177</v>
      </c>
    </row>
    <row r="34" spans="1:13" s="1" customFormat="1" x14ac:dyDescent="0.25">
      <c r="A34" s="7" t="s">
        <v>64</v>
      </c>
      <c r="B34" s="8" t="s">
        <v>65</v>
      </c>
      <c r="C34" s="9">
        <v>6247438</v>
      </c>
      <c r="D34" s="10">
        <v>43085</v>
      </c>
      <c r="E34" s="10">
        <v>43117</v>
      </c>
      <c r="F34" s="11">
        <v>1537</v>
      </c>
      <c r="G34" s="11">
        <v>32</v>
      </c>
      <c r="H34" s="12">
        <f t="shared" si="6"/>
        <v>15</v>
      </c>
      <c r="I34" s="12">
        <f t="shared" si="5"/>
        <v>17</v>
      </c>
      <c r="J34" s="13">
        <v>666740</v>
      </c>
      <c r="K34" s="13">
        <f t="shared" si="2"/>
        <v>20835.625</v>
      </c>
      <c r="L34" s="13">
        <f t="shared" si="3"/>
        <v>312534.375</v>
      </c>
      <c r="M34" s="13">
        <f t="shared" si="4"/>
        <v>354205.625</v>
      </c>
    </row>
    <row r="35" spans="1:13" s="1" customFormat="1" x14ac:dyDescent="0.25">
      <c r="A35" s="7" t="s">
        <v>66</v>
      </c>
      <c r="B35" s="8" t="s">
        <v>67</v>
      </c>
      <c r="C35" s="9">
        <v>7515261</v>
      </c>
      <c r="D35" s="10">
        <v>43074</v>
      </c>
      <c r="E35" s="10">
        <v>43105</v>
      </c>
      <c r="F35" s="11">
        <v>1706</v>
      </c>
      <c r="G35" s="11">
        <v>31</v>
      </c>
      <c r="H35" s="12">
        <f t="shared" si="6"/>
        <v>26</v>
      </c>
      <c r="I35" s="12">
        <f t="shared" si="5"/>
        <v>5</v>
      </c>
      <c r="J35" s="13">
        <v>740050</v>
      </c>
      <c r="K35" s="13">
        <f t="shared" si="2"/>
        <v>23872.580645161292</v>
      </c>
      <c r="L35" s="13">
        <f t="shared" si="3"/>
        <v>620687.09677419357</v>
      </c>
      <c r="M35" s="13">
        <f t="shared" si="4"/>
        <v>119362.90322580645</v>
      </c>
    </row>
    <row r="36" spans="1:13" s="1" customFormat="1" x14ac:dyDescent="0.25">
      <c r="A36" s="7" t="s">
        <v>68</v>
      </c>
      <c r="B36" s="8" t="s">
        <v>69</v>
      </c>
      <c r="C36" s="9">
        <v>2019560</v>
      </c>
      <c r="D36" s="10">
        <v>43085</v>
      </c>
      <c r="E36" s="10">
        <v>43118</v>
      </c>
      <c r="F36" s="11">
        <v>4160</v>
      </c>
      <c r="G36" s="11">
        <v>33</v>
      </c>
      <c r="H36" s="12">
        <f t="shared" si="6"/>
        <v>15</v>
      </c>
      <c r="I36" s="12">
        <f t="shared" si="5"/>
        <v>18</v>
      </c>
      <c r="J36" s="13">
        <v>1804560</v>
      </c>
      <c r="K36" s="13">
        <f t="shared" si="2"/>
        <v>54683.63636363636</v>
      </c>
      <c r="L36" s="13">
        <f t="shared" si="3"/>
        <v>820254.54545454541</v>
      </c>
      <c r="M36" s="13">
        <f t="shared" si="4"/>
        <v>984305.45454545447</v>
      </c>
    </row>
    <row r="37" spans="1:13" s="1" customFormat="1" x14ac:dyDescent="0.25">
      <c r="A37" s="7" t="s">
        <v>70</v>
      </c>
      <c r="B37" s="8" t="s">
        <v>71</v>
      </c>
      <c r="C37" s="9">
        <v>6514252</v>
      </c>
      <c r="D37" s="10">
        <v>43084</v>
      </c>
      <c r="E37" s="10">
        <v>43116</v>
      </c>
      <c r="F37" s="11">
        <v>2480</v>
      </c>
      <c r="G37" s="11">
        <v>32</v>
      </c>
      <c r="H37" s="12">
        <f t="shared" si="6"/>
        <v>16</v>
      </c>
      <c r="I37" s="12">
        <f t="shared" si="5"/>
        <v>16</v>
      </c>
      <c r="J37" s="13">
        <v>993660</v>
      </c>
      <c r="K37" s="13">
        <f t="shared" si="2"/>
        <v>31051.875</v>
      </c>
      <c r="L37" s="13">
        <f t="shared" si="3"/>
        <v>496830</v>
      </c>
      <c r="M37" s="13">
        <f t="shared" si="4"/>
        <v>496830</v>
      </c>
    </row>
    <row r="38" spans="1:13" s="1" customFormat="1" x14ac:dyDescent="0.25">
      <c r="A38" s="7" t="s">
        <v>72</v>
      </c>
      <c r="B38" s="8" t="s">
        <v>73</v>
      </c>
      <c r="C38" s="9">
        <v>2255372</v>
      </c>
      <c r="D38" s="10">
        <v>43076</v>
      </c>
      <c r="E38" s="10">
        <v>43113</v>
      </c>
      <c r="F38" s="11">
        <v>324</v>
      </c>
      <c r="G38" s="11">
        <v>37</v>
      </c>
      <c r="H38" s="12">
        <f t="shared" si="6"/>
        <v>24</v>
      </c>
      <c r="I38" s="12">
        <f t="shared" si="5"/>
        <v>13</v>
      </c>
      <c r="J38" s="13">
        <v>140550</v>
      </c>
      <c r="K38" s="13">
        <f t="shared" si="2"/>
        <v>3798.6486486486488</v>
      </c>
      <c r="L38" s="13">
        <f t="shared" si="3"/>
        <v>91167.567567567574</v>
      </c>
      <c r="M38" s="13">
        <f t="shared" si="4"/>
        <v>49382.432432432433</v>
      </c>
    </row>
    <row r="39" spans="1:13" s="1" customFormat="1" x14ac:dyDescent="0.25">
      <c r="A39" s="7" t="s">
        <v>74</v>
      </c>
      <c r="B39" s="8" t="s">
        <v>75</v>
      </c>
      <c r="C39" s="9">
        <v>2018851</v>
      </c>
      <c r="D39" s="10">
        <v>43085</v>
      </c>
      <c r="E39" s="20">
        <v>43117</v>
      </c>
      <c r="F39" s="11">
        <v>35</v>
      </c>
      <c r="G39" s="11">
        <v>35</v>
      </c>
      <c r="H39" s="12">
        <f t="shared" si="6"/>
        <v>15</v>
      </c>
      <c r="I39" s="12">
        <f t="shared" si="5"/>
        <v>20</v>
      </c>
      <c r="J39" s="13">
        <v>15180</v>
      </c>
      <c r="K39" s="13">
        <f t="shared" si="2"/>
        <v>433.71428571428572</v>
      </c>
      <c r="L39" s="13">
        <f t="shared" si="3"/>
        <v>6505.7142857142862</v>
      </c>
      <c r="M39" s="13">
        <f t="shared" si="4"/>
        <v>8674.2857142857138</v>
      </c>
    </row>
    <row r="40" spans="1:13" s="1" customFormat="1" x14ac:dyDescent="0.25">
      <c r="A40" s="7" t="s">
        <v>76</v>
      </c>
      <c r="B40" s="8" t="s">
        <v>77</v>
      </c>
      <c r="C40" s="9">
        <v>2008125</v>
      </c>
      <c r="D40" s="10">
        <v>43089</v>
      </c>
      <c r="E40" s="10">
        <v>43125</v>
      </c>
      <c r="F40" s="11">
        <v>7620</v>
      </c>
      <c r="G40" s="11">
        <v>36</v>
      </c>
      <c r="H40" s="12">
        <f t="shared" si="6"/>
        <v>11</v>
      </c>
      <c r="I40" s="12">
        <f t="shared" si="5"/>
        <v>25</v>
      </c>
      <c r="J40" s="13">
        <v>3305480</v>
      </c>
      <c r="K40" s="13">
        <f t="shared" si="2"/>
        <v>91818.888888888891</v>
      </c>
      <c r="L40" s="13">
        <f t="shared" si="3"/>
        <v>1010007.7777777778</v>
      </c>
      <c r="M40" s="13">
        <f t="shared" si="4"/>
        <v>2295472.2222222225</v>
      </c>
    </row>
    <row r="41" spans="1:13" s="1" customFormat="1" x14ac:dyDescent="0.25">
      <c r="A41" s="7" t="s">
        <v>78</v>
      </c>
      <c r="B41" s="8" t="s">
        <v>79</v>
      </c>
      <c r="C41" s="9">
        <v>6932768</v>
      </c>
      <c r="D41" s="10">
        <v>43087</v>
      </c>
      <c r="E41" s="10">
        <v>43116</v>
      </c>
      <c r="F41" s="11">
        <v>8080</v>
      </c>
      <c r="G41" s="11">
        <v>29</v>
      </c>
      <c r="H41" s="12">
        <f t="shared" si="6"/>
        <v>13</v>
      </c>
      <c r="I41" s="12">
        <f t="shared" si="5"/>
        <v>16</v>
      </c>
      <c r="J41" s="13">
        <v>3237410</v>
      </c>
      <c r="K41" s="13">
        <f t="shared" si="2"/>
        <v>111634.8275862069</v>
      </c>
      <c r="L41" s="13">
        <f t="shared" si="3"/>
        <v>1451252.7586206896</v>
      </c>
      <c r="M41" s="13">
        <f t="shared" si="4"/>
        <v>1786157.2413793104</v>
      </c>
    </row>
    <row r="42" spans="1:13" s="1" customFormat="1" x14ac:dyDescent="0.25">
      <c r="A42" s="21" t="s">
        <v>80</v>
      </c>
      <c r="B42" s="14" t="s">
        <v>81</v>
      </c>
      <c r="C42" s="22">
        <v>2110674</v>
      </c>
      <c r="D42" s="10">
        <v>43078</v>
      </c>
      <c r="E42" s="10">
        <v>43109</v>
      </c>
      <c r="F42" s="11">
        <v>1713</v>
      </c>
      <c r="G42" s="11">
        <v>31</v>
      </c>
      <c r="H42" s="12">
        <f t="shared" si="6"/>
        <v>22</v>
      </c>
      <c r="I42" s="12">
        <f t="shared" si="5"/>
        <v>9</v>
      </c>
      <c r="J42" s="13">
        <v>743080</v>
      </c>
      <c r="K42" s="13">
        <f t="shared" si="2"/>
        <v>23970.322580645163</v>
      </c>
      <c r="L42" s="13">
        <f t="shared" si="3"/>
        <v>527347.09677419357</v>
      </c>
      <c r="M42" s="13">
        <f t="shared" si="4"/>
        <v>215732.90322580645</v>
      </c>
    </row>
    <row r="43" spans="1:13" s="1" customFormat="1" x14ac:dyDescent="0.25">
      <c r="A43" s="21" t="s">
        <v>82</v>
      </c>
      <c r="B43" s="14" t="s">
        <v>83</v>
      </c>
      <c r="C43" s="22">
        <v>6927918</v>
      </c>
      <c r="D43" s="10">
        <v>43087</v>
      </c>
      <c r="E43" s="10">
        <v>43116</v>
      </c>
      <c r="F43" s="11">
        <v>4440</v>
      </c>
      <c r="G43" s="11">
        <v>29</v>
      </c>
      <c r="H43" s="12">
        <f t="shared" si="6"/>
        <v>13</v>
      </c>
      <c r="I43" s="12">
        <f t="shared" si="5"/>
        <v>16</v>
      </c>
      <c r="J43" s="13">
        <v>1778970</v>
      </c>
      <c r="K43" s="13">
        <f t="shared" si="2"/>
        <v>61343.793103448275</v>
      </c>
      <c r="L43" s="13">
        <f t="shared" si="3"/>
        <v>797469.31034482759</v>
      </c>
      <c r="M43" s="13">
        <f t="shared" si="4"/>
        <v>981500.68965517241</v>
      </c>
    </row>
    <row r="44" spans="1:13" s="1" customFormat="1" x14ac:dyDescent="0.25">
      <c r="A44" s="7" t="s">
        <v>84</v>
      </c>
      <c r="B44" s="14" t="s">
        <v>85</v>
      </c>
      <c r="C44" s="9">
        <v>7598539</v>
      </c>
      <c r="D44" s="10">
        <v>43089</v>
      </c>
      <c r="E44" s="10">
        <v>43124</v>
      </c>
      <c r="F44" s="11">
        <v>5934</v>
      </c>
      <c r="G44" s="11">
        <v>35</v>
      </c>
      <c r="H44" s="12">
        <f t="shared" si="6"/>
        <v>11</v>
      </c>
      <c r="I44" s="12">
        <f t="shared" si="5"/>
        <v>24</v>
      </c>
      <c r="J44" s="13">
        <v>2377580</v>
      </c>
      <c r="K44" s="13">
        <f t="shared" si="2"/>
        <v>67930.857142857145</v>
      </c>
      <c r="L44" s="13">
        <f t="shared" si="3"/>
        <v>747239.42857142864</v>
      </c>
      <c r="M44" s="13">
        <f t="shared" si="4"/>
        <v>1630340.5714285714</v>
      </c>
    </row>
    <row r="45" spans="1:13" s="1" customFormat="1" x14ac:dyDescent="0.25">
      <c r="A45" s="7" t="s">
        <v>86</v>
      </c>
      <c r="B45" s="14" t="s">
        <v>87</v>
      </c>
      <c r="C45" s="9">
        <v>2365600</v>
      </c>
      <c r="D45" s="10">
        <v>43089</v>
      </c>
      <c r="E45" s="10">
        <v>43120</v>
      </c>
      <c r="F45" s="11">
        <v>0</v>
      </c>
      <c r="G45" s="11">
        <v>0</v>
      </c>
      <c r="H45" s="12">
        <f t="shared" si="6"/>
        <v>11</v>
      </c>
      <c r="I45" s="12">
        <f t="shared" si="5"/>
        <v>-11</v>
      </c>
      <c r="J45" s="13">
        <v>0</v>
      </c>
      <c r="K45" s="13"/>
      <c r="L45" s="13">
        <f t="shared" si="3"/>
        <v>0</v>
      </c>
      <c r="M45" s="13">
        <f t="shared" si="4"/>
        <v>0</v>
      </c>
    </row>
    <row r="46" spans="1:13" s="1" customFormat="1" x14ac:dyDescent="0.25">
      <c r="A46" s="7" t="s">
        <v>88</v>
      </c>
      <c r="B46" s="8" t="s">
        <v>89</v>
      </c>
      <c r="C46" s="9">
        <v>6948635</v>
      </c>
      <c r="D46" s="10">
        <v>43064</v>
      </c>
      <c r="E46" s="10">
        <v>43091</v>
      </c>
      <c r="F46" s="11">
        <v>11280</v>
      </c>
      <c r="G46" s="11">
        <v>27</v>
      </c>
      <c r="H46" s="12">
        <v>27</v>
      </c>
      <c r="I46" s="12">
        <f t="shared" si="5"/>
        <v>0</v>
      </c>
      <c r="J46" s="13">
        <v>4852540</v>
      </c>
      <c r="K46" s="13">
        <f t="shared" si="2"/>
        <v>179723.70370370371</v>
      </c>
      <c r="L46" s="13">
        <f t="shared" si="3"/>
        <v>4852540</v>
      </c>
      <c r="M46" s="13">
        <f t="shared" si="4"/>
        <v>0</v>
      </c>
    </row>
    <row r="47" spans="1:13" s="1" customFormat="1" x14ac:dyDescent="0.25">
      <c r="A47" s="7" t="s">
        <v>90</v>
      </c>
      <c r="B47" s="8" t="s">
        <v>91</v>
      </c>
      <c r="C47" s="9">
        <v>6922898</v>
      </c>
      <c r="D47" s="10">
        <v>43089</v>
      </c>
      <c r="E47" s="10">
        <v>43124</v>
      </c>
      <c r="F47" s="11">
        <v>9680</v>
      </c>
      <c r="G47" s="11">
        <v>35</v>
      </c>
      <c r="H47" s="12">
        <f t="shared" ref="H47:H59" si="7">$G$4-D47</f>
        <v>11</v>
      </c>
      <c r="I47" s="12">
        <f t="shared" si="5"/>
        <v>24</v>
      </c>
      <c r="J47" s="13">
        <v>3991470</v>
      </c>
      <c r="K47" s="13">
        <f t="shared" si="2"/>
        <v>114042</v>
      </c>
      <c r="L47" s="13">
        <f t="shared" si="3"/>
        <v>1254462</v>
      </c>
      <c r="M47" s="13">
        <f t="shared" si="4"/>
        <v>2737008</v>
      </c>
    </row>
    <row r="48" spans="1:13" s="1" customFormat="1" x14ac:dyDescent="0.25">
      <c r="A48" s="7" t="s">
        <v>92</v>
      </c>
      <c r="B48" s="8" t="s">
        <v>93</v>
      </c>
      <c r="C48" s="9">
        <v>6519048</v>
      </c>
      <c r="D48" s="10">
        <v>43088</v>
      </c>
      <c r="E48" s="10">
        <v>43120</v>
      </c>
      <c r="F48" s="11">
        <v>3760</v>
      </c>
      <c r="G48" s="11">
        <v>32</v>
      </c>
      <c r="H48" s="12">
        <f t="shared" si="7"/>
        <v>12</v>
      </c>
      <c r="I48" s="12">
        <f t="shared" si="5"/>
        <v>20</v>
      </c>
      <c r="J48" s="13">
        <v>1523550</v>
      </c>
      <c r="K48" s="13">
        <f t="shared" si="2"/>
        <v>47610.9375</v>
      </c>
      <c r="L48" s="13">
        <f t="shared" si="3"/>
        <v>571331.25</v>
      </c>
      <c r="M48" s="13">
        <f t="shared" si="4"/>
        <v>952218.75</v>
      </c>
    </row>
    <row r="49" spans="1:13" s="1" customFormat="1" x14ac:dyDescent="0.25">
      <c r="A49" s="7" t="s">
        <v>94</v>
      </c>
      <c r="B49" s="8" t="s">
        <v>95</v>
      </c>
      <c r="C49" s="9">
        <v>2070151</v>
      </c>
      <c r="D49" s="10">
        <v>43090</v>
      </c>
      <c r="E49" s="10">
        <v>43124</v>
      </c>
      <c r="F49" s="11">
        <v>6160</v>
      </c>
      <c r="G49" s="11">
        <v>34</v>
      </c>
      <c r="H49" s="12">
        <f t="shared" si="7"/>
        <v>10</v>
      </c>
      <c r="I49" s="12">
        <f t="shared" si="5"/>
        <v>24</v>
      </c>
      <c r="J49" s="13">
        <v>2468130</v>
      </c>
      <c r="K49" s="13">
        <f t="shared" si="2"/>
        <v>72592.058823529413</v>
      </c>
      <c r="L49" s="13">
        <f t="shared" si="3"/>
        <v>725920.5882352941</v>
      </c>
      <c r="M49" s="13">
        <f t="shared" si="4"/>
        <v>1742209.411764706</v>
      </c>
    </row>
    <row r="50" spans="1:13" s="1" customFormat="1" x14ac:dyDescent="0.25">
      <c r="A50" s="7" t="s">
        <v>96</v>
      </c>
      <c r="B50" s="8" t="s">
        <v>97</v>
      </c>
      <c r="C50" s="10" t="s">
        <v>98</v>
      </c>
      <c r="D50" s="10">
        <v>43100</v>
      </c>
      <c r="E50" s="10"/>
      <c r="F50" s="11"/>
      <c r="G50" s="11"/>
      <c r="H50" s="12">
        <f t="shared" si="7"/>
        <v>0</v>
      </c>
      <c r="I50" s="12">
        <f t="shared" si="5"/>
        <v>0</v>
      </c>
      <c r="J50" s="13"/>
      <c r="K50" s="13"/>
      <c r="L50" s="13">
        <f t="shared" si="3"/>
        <v>0</v>
      </c>
      <c r="M50" s="13">
        <f t="shared" si="4"/>
        <v>0</v>
      </c>
    </row>
    <row r="51" spans="1:13" s="1" customFormat="1" x14ac:dyDescent="0.25">
      <c r="A51" s="7" t="s">
        <v>99</v>
      </c>
      <c r="B51" s="14" t="s">
        <v>100</v>
      </c>
      <c r="C51" s="9">
        <v>6943228</v>
      </c>
      <c r="D51" s="10">
        <v>43091</v>
      </c>
      <c r="E51" s="10">
        <v>43123</v>
      </c>
      <c r="F51" s="11">
        <v>7280</v>
      </c>
      <c r="G51" s="11">
        <v>32</v>
      </c>
      <c r="H51" s="12">
        <f t="shared" si="7"/>
        <v>9</v>
      </c>
      <c r="I51" s="12">
        <f t="shared" si="5"/>
        <v>23</v>
      </c>
      <c r="J51" s="13">
        <v>2916870</v>
      </c>
      <c r="K51" s="13">
        <f t="shared" si="2"/>
        <v>91152.1875</v>
      </c>
      <c r="L51" s="13">
        <f t="shared" si="3"/>
        <v>820369.6875</v>
      </c>
      <c r="M51" s="13">
        <f t="shared" si="4"/>
        <v>2096500.3125</v>
      </c>
    </row>
    <row r="52" spans="1:13" s="1" customFormat="1" x14ac:dyDescent="0.25">
      <c r="A52" s="7" t="s">
        <v>101</v>
      </c>
      <c r="B52" s="8" t="s">
        <v>102</v>
      </c>
      <c r="C52" s="9">
        <v>2039645</v>
      </c>
      <c r="D52" s="10">
        <v>43081</v>
      </c>
      <c r="E52" s="10">
        <v>43114</v>
      </c>
      <c r="F52" s="11">
        <v>2144</v>
      </c>
      <c r="G52" s="11">
        <v>33</v>
      </c>
      <c r="H52" s="12">
        <f t="shared" si="7"/>
        <v>19</v>
      </c>
      <c r="I52" s="12">
        <f t="shared" si="5"/>
        <v>14</v>
      </c>
      <c r="J52" s="13">
        <v>930040</v>
      </c>
      <c r="K52" s="13">
        <f t="shared" si="2"/>
        <v>28183.030303030304</v>
      </c>
      <c r="L52" s="13">
        <f t="shared" si="3"/>
        <v>535477.5757575758</v>
      </c>
      <c r="M52" s="13">
        <f t="shared" si="4"/>
        <v>394562.42424242425</v>
      </c>
    </row>
    <row r="53" spans="1:13" s="1" customFormat="1" x14ac:dyDescent="0.25">
      <c r="A53" s="7" t="s">
        <v>103</v>
      </c>
      <c r="B53" s="8" t="s">
        <v>104</v>
      </c>
      <c r="C53" s="9">
        <v>2001158</v>
      </c>
      <c r="D53" s="10">
        <v>43091</v>
      </c>
      <c r="E53" s="10">
        <v>43123</v>
      </c>
      <c r="F53" s="11">
        <v>2680</v>
      </c>
      <c r="G53" s="11">
        <v>32</v>
      </c>
      <c r="H53" s="12">
        <f t="shared" si="7"/>
        <v>9</v>
      </c>
      <c r="I53" s="12">
        <f t="shared" si="5"/>
        <v>23</v>
      </c>
      <c r="J53" s="13">
        <v>1596350</v>
      </c>
      <c r="K53" s="13">
        <f t="shared" si="2"/>
        <v>49885.9375</v>
      </c>
      <c r="L53" s="13">
        <f t="shared" si="3"/>
        <v>448973.4375</v>
      </c>
      <c r="M53" s="13">
        <f t="shared" si="4"/>
        <v>1147376.5625</v>
      </c>
    </row>
    <row r="54" spans="1:13" s="1" customFormat="1" x14ac:dyDescent="0.25">
      <c r="A54" s="7" t="s">
        <v>105</v>
      </c>
      <c r="B54" s="8" t="s">
        <v>106</v>
      </c>
      <c r="C54" s="9">
        <v>2018606</v>
      </c>
      <c r="D54" s="10">
        <v>43087</v>
      </c>
      <c r="E54" s="10">
        <v>43118</v>
      </c>
      <c r="F54" s="11">
        <v>1599</v>
      </c>
      <c r="G54" s="11">
        <v>31</v>
      </c>
      <c r="H54" s="12">
        <f t="shared" si="7"/>
        <v>13</v>
      </c>
      <c r="I54" s="12">
        <f t="shared" si="5"/>
        <v>18</v>
      </c>
      <c r="J54" s="13">
        <v>693630</v>
      </c>
      <c r="K54" s="13">
        <f t="shared" si="2"/>
        <v>22375.16129032258</v>
      </c>
      <c r="L54" s="13">
        <f t="shared" si="3"/>
        <v>290877.09677419352</v>
      </c>
      <c r="M54" s="13">
        <f t="shared" si="4"/>
        <v>402752.90322580643</v>
      </c>
    </row>
    <row r="55" spans="1:13" s="1" customFormat="1" x14ac:dyDescent="0.25">
      <c r="A55" s="7" t="s">
        <v>107</v>
      </c>
      <c r="B55" s="8" t="s">
        <v>108</v>
      </c>
      <c r="C55" s="9">
        <v>7610688</v>
      </c>
      <c r="D55" s="10">
        <v>43089</v>
      </c>
      <c r="E55" s="10">
        <v>43122</v>
      </c>
      <c r="F55" s="11">
        <v>3046</v>
      </c>
      <c r="G55" s="11">
        <v>33</v>
      </c>
      <c r="H55" s="12">
        <f t="shared" si="7"/>
        <v>11</v>
      </c>
      <c r="I55" s="12">
        <f t="shared" si="5"/>
        <v>22</v>
      </c>
      <c r="J55" s="13">
        <v>1232460</v>
      </c>
      <c r="K55" s="13">
        <f t="shared" si="2"/>
        <v>37347.272727272728</v>
      </c>
      <c r="L55" s="13">
        <f t="shared" si="3"/>
        <v>410820</v>
      </c>
      <c r="M55" s="13">
        <f t="shared" si="4"/>
        <v>821640</v>
      </c>
    </row>
    <row r="56" spans="1:13" s="1" customFormat="1" x14ac:dyDescent="0.25">
      <c r="A56" s="7" t="s">
        <v>109</v>
      </c>
      <c r="B56" s="8" t="s">
        <v>110</v>
      </c>
      <c r="C56" s="9">
        <v>2072562</v>
      </c>
      <c r="D56" s="10">
        <v>43091</v>
      </c>
      <c r="E56" s="10">
        <v>43123</v>
      </c>
      <c r="F56" s="11">
        <v>3200</v>
      </c>
      <c r="G56" s="11">
        <v>32</v>
      </c>
      <c r="H56" s="12">
        <f t="shared" si="7"/>
        <v>9</v>
      </c>
      <c r="I56" s="12">
        <f t="shared" si="5"/>
        <v>23</v>
      </c>
      <c r="J56" s="13">
        <v>1282140</v>
      </c>
      <c r="K56" s="13">
        <f t="shared" si="2"/>
        <v>40066.875</v>
      </c>
      <c r="L56" s="13">
        <f t="shared" si="3"/>
        <v>360601.875</v>
      </c>
      <c r="M56" s="13">
        <f t="shared" si="4"/>
        <v>921538.125</v>
      </c>
    </row>
    <row r="57" spans="1:13" s="1" customFormat="1" x14ac:dyDescent="0.25">
      <c r="A57" s="7" t="s">
        <v>111</v>
      </c>
      <c r="B57" s="8" t="s">
        <v>112</v>
      </c>
      <c r="C57" s="9">
        <v>6636122</v>
      </c>
      <c r="D57" s="10">
        <v>43090</v>
      </c>
      <c r="E57" s="10">
        <v>43123</v>
      </c>
      <c r="F57" s="11">
        <v>1422</v>
      </c>
      <c r="G57" s="11">
        <v>33</v>
      </c>
      <c r="H57" s="12">
        <f t="shared" si="7"/>
        <v>10</v>
      </c>
      <c r="I57" s="12">
        <f t="shared" si="5"/>
        <v>23</v>
      </c>
      <c r="J57" s="13">
        <v>616850</v>
      </c>
      <c r="K57" s="13">
        <f t="shared" si="2"/>
        <v>18692.424242424244</v>
      </c>
      <c r="L57" s="13">
        <f t="shared" si="3"/>
        <v>186924.24242424243</v>
      </c>
      <c r="M57" s="13">
        <f t="shared" si="4"/>
        <v>429925.75757575763</v>
      </c>
    </row>
    <row r="58" spans="1:13" s="1" customFormat="1" x14ac:dyDescent="0.25">
      <c r="A58" s="7" t="s">
        <v>113</v>
      </c>
      <c r="B58" s="8" t="s">
        <v>114</v>
      </c>
      <c r="C58" s="9">
        <v>6923414</v>
      </c>
      <c r="D58" s="10">
        <v>43090</v>
      </c>
      <c r="E58" s="10">
        <v>43124</v>
      </c>
      <c r="F58" s="11">
        <v>6640</v>
      </c>
      <c r="G58" s="11">
        <v>34</v>
      </c>
      <c r="H58" s="12">
        <f t="shared" si="7"/>
        <v>10</v>
      </c>
      <c r="I58" s="12">
        <f t="shared" si="5"/>
        <v>24</v>
      </c>
      <c r="J58" s="13">
        <v>2660450</v>
      </c>
      <c r="K58" s="13">
        <f t="shared" si="2"/>
        <v>78248.529411764699</v>
      </c>
      <c r="L58" s="13">
        <f t="shared" si="3"/>
        <v>782485.29411764699</v>
      </c>
      <c r="M58" s="13">
        <f t="shared" si="4"/>
        <v>1877964.7058823528</v>
      </c>
    </row>
    <row r="59" spans="1:13" s="1" customFormat="1" x14ac:dyDescent="0.25">
      <c r="A59" s="7" t="s">
        <v>115</v>
      </c>
      <c r="B59" s="8" t="s">
        <v>116</v>
      </c>
      <c r="C59" s="9">
        <v>2103750</v>
      </c>
      <c r="D59" s="10">
        <v>43087</v>
      </c>
      <c r="E59" s="10">
        <v>43116</v>
      </c>
      <c r="F59" s="11">
        <v>8320</v>
      </c>
      <c r="G59" s="11">
        <v>29</v>
      </c>
      <c r="H59" s="12">
        <f t="shared" si="7"/>
        <v>13</v>
      </c>
      <c r="I59" s="12">
        <f t="shared" si="5"/>
        <v>16</v>
      </c>
      <c r="J59" s="13">
        <v>3609130</v>
      </c>
      <c r="K59" s="13">
        <f t="shared" si="2"/>
        <v>124452.75862068965</v>
      </c>
      <c r="L59" s="13">
        <f t="shared" si="3"/>
        <v>1617885.8620689656</v>
      </c>
      <c r="M59" s="13">
        <f t="shared" si="4"/>
        <v>1991244.1379310344</v>
      </c>
    </row>
    <row r="60" spans="1:13" s="1" customFormat="1" x14ac:dyDescent="0.25">
      <c r="A60" s="305" t="s">
        <v>117</v>
      </c>
      <c r="B60" s="306"/>
      <c r="C60" s="306"/>
      <c r="D60" s="306"/>
      <c r="E60" s="306"/>
      <c r="F60" s="306"/>
      <c r="G60" s="306"/>
      <c r="H60" s="306"/>
      <c r="I60" s="307"/>
      <c r="J60" s="23">
        <f>SUM(J7:J59)</f>
        <v>273405020</v>
      </c>
      <c r="K60" s="24"/>
      <c r="L60" s="23">
        <f>SUM(L7:L59)</f>
        <v>130905853.04411902</v>
      </c>
      <c r="M60" s="23">
        <f>SUM(M7:M59)</f>
        <v>142499166.955881</v>
      </c>
    </row>
    <row r="61" spans="1:13" s="1" customFormat="1" x14ac:dyDescent="0.25"/>
    <row r="62" spans="1:13" s="1" customFormat="1" x14ac:dyDescent="0.25">
      <c r="J62" s="25"/>
    </row>
  </sheetData>
  <mergeCells count="15">
    <mergeCell ref="J5:J6"/>
    <mergeCell ref="K5:K6"/>
    <mergeCell ref="L5:L6"/>
    <mergeCell ref="M5:M6"/>
    <mergeCell ref="A60:I60"/>
    <mergeCell ref="I5:I6"/>
    <mergeCell ref="E2:F2"/>
    <mergeCell ref="E3:F3"/>
    <mergeCell ref="G4:H4"/>
    <mergeCell ref="A5:A6"/>
    <mergeCell ref="B5:B6"/>
    <mergeCell ref="C5:C6"/>
    <mergeCell ref="D5:E5"/>
    <mergeCell ref="G5:G6"/>
    <mergeCell ref="H5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>
      <selection activeCell="M29" sqref="M29"/>
    </sheetView>
  </sheetViews>
  <sheetFormatPr baseColWidth="10" defaultRowHeight="15" x14ac:dyDescent="0.25"/>
  <cols>
    <col min="1" max="1" width="35" customWidth="1"/>
    <col min="2" max="2" width="29.28515625" customWidth="1"/>
    <col min="3" max="3" width="12.85546875" customWidth="1"/>
    <col min="6" max="6" width="13.85546875" customWidth="1"/>
    <col min="7" max="7" width="11.85546875" customWidth="1"/>
    <col min="8" max="10" width="19.28515625" customWidth="1"/>
    <col min="11" max="11" width="15.140625" customWidth="1"/>
  </cols>
  <sheetData>
    <row r="1" spans="1:14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308"/>
      <c r="K1" s="26"/>
      <c r="L1" s="27"/>
      <c r="M1" s="27"/>
    </row>
    <row r="2" spans="1:14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26"/>
      <c r="M2" s="29"/>
    </row>
    <row r="3" spans="1:14" s="27" customFormat="1" ht="14.25" x14ac:dyDescent="0.3">
      <c r="C3" s="30" t="s">
        <v>119</v>
      </c>
      <c r="D3" s="309" t="s">
        <v>120</v>
      </c>
      <c r="E3" s="309"/>
      <c r="F3" s="30" t="s">
        <v>121</v>
      </c>
      <c r="G3" s="310" t="s">
        <v>122</v>
      </c>
      <c r="H3" s="311"/>
      <c r="I3" s="311"/>
      <c r="J3" s="312"/>
      <c r="K3" s="26"/>
      <c r="N3" s="31"/>
    </row>
    <row r="4" spans="1:14" s="27" customFormat="1" ht="14.25" x14ac:dyDescent="0.3">
      <c r="C4" s="30" t="s">
        <v>123</v>
      </c>
      <c r="D4" s="313" t="s">
        <v>124</v>
      </c>
      <c r="E4" s="313"/>
      <c r="F4" s="314" t="s">
        <v>125</v>
      </c>
      <c r="G4" s="32" t="s">
        <v>126</v>
      </c>
      <c r="H4" s="309" t="s">
        <v>127</v>
      </c>
      <c r="I4" s="309"/>
      <c r="J4" s="309"/>
      <c r="K4" s="26"/>
    </row>
    <row r="5" spans="1:14" s="27" customFormat="1" ht="14.25" x14ac:dyDescent="0.3">
      <c r="C5" s="30" t="s">
        <v>128</v>
      </c>
      <c r="D5" s="315" t="s">
        <v>129</v>
      </c>
      <c r="E5" s="316"/>
      <c r="F5" s="314"/>
      <c r="G5" s="33" t="s">
        <v>130</v>
      </c>
      <c r="H5" s="317" t="s">
        <v>131</v>
      </c>
      <c r="I5" s="317"/>
      <c r="J5" s="317"/>
      <c r="K5" s="26"/>
    </row>
    <row r="6" spans="1:14" s="27" customFormat="1" ht="14.25" x14ac:dyDescent="0.3">
      <c r="B6" s="34"/>
      <c r="C6" s="34"/>
      <c r="D6" s="34"/>
      <c r="E6" s="35"/>
      <c r="I6" s="34"/>
      <c r="J6" s="26"/>
      <c r="K6" s="26"/>
    </row>
    <row r="7" spans="1:14" s="28" customFormat="1" ht="15" customHeight="1" x14ac:dyDescent="0.3">
      <c r="A7" s="319" t="s">
        <v>3</v>
      </c>
      <c r="B7" s="319" t="s">
        <v>4</v>
      </c>
      <c r="C7" s="319" t="s">
        <v>5</v>
      </c>
      <c r="D7" s="319" t="s">
        <v>6</v>
      </c>
      <c r="E7" s="319"/>
      <c r="F7" s="36" t="s">
        <v>7</v>
      </c>
      <c r="G7" s="36" t="s">
        <v>132</v>
      </c>
      <c r="H7" s="319" t="s">
        <v>133</v>
      </c>
      <c r="I7" s="319" t="s">
        <v>134</v>
      </c>
      <c r="J7" s="320" t="s">
        <v>11</v>
      </c>
      <c r="K7" s="318"/>
      <c r="L7" s="27"/>
      <c r="M7" s="27"/>
    </row>
    <row r="8" spans="1:14" s="28" customFormat="1" ht="14.25" x14ac:dyDescent="0.3">
      <c r="A8" s="319"/>
      <c r="B8" s="319"/>
      <c r="C8" s="319"/>
      <c r="D8" s="36" t="s">
        <v>15</v>
      </c>
      <c r="E8" s="36" t="s">
        <v>16</v>
      </c>
      <c r="F8" s="36" t="s">
        <v>17</v>
      </c>
      <c r="G8" s="36" t="s">
        <v>17</v>
      </c>
      <c r="H8" s="319"/>
      <c r="I8" s="319"/>
      <c r="J8" s="320"/>
      <c r="K8" s="318"/>
      <c r="L8" s="27"/>
      <c r="M8" s="27"/>
    </row>
    <row r="9" spans="1:14" s="28" customFormat="1" ht="14.25" x14ac:dyDescent="0.3">
      <c r="A9" s="37" t="s">
        <v>18</v>
      </c>
      <c r="B9" s="38" t="s">
        <v>19</v>
      </c>
      <c r="C9" s="39">
        <v>2011839</v>
      </c>
      <c r="D9" s="40">
        <v>43115</v>
      </c>
      <c r="E9" s="40">
        <v>43144</v>
      </c>
      <c r="F9" s="39">
        <f>46080+12000</f>
        <v>58080</v>
      </c>
      <c r="G9" s="41">
        <v>366.93</v>
      </c>
      <c r="H9" s="42">
        <v>0</v>
      </c>
      <c r="I9" s="43" t="s">
        <v>135</v>
      </c>
      <c r="J9" s="44">
        <v>21116840</v>
      </c>
      <c r="K9" s="45"/>
      <c r="L9" s="27"/>
      <c r="M9" s="27"/>
    </row>
    <row r="10" spans="1:14" s="28" customFormat="1" ht="14.25" x14ac:dyDescent="0.3">
      <c r="A10" s="37" t="s">
        <v>20</v>
      </c>
      <c r="B10" s="38" t="s">
        <v>19</v>
      </c>
      <c r="C10" s="39">
        <v>2018732</v>
      </c>
      <c r="D10" s="40">
        <v>43118</v>
      </c>
      <c r="E10" s="40">
        <v>43151</v>
      </c>
      <c r="F10" s="39">
        <v>2666</v>
      </c>
      <c r="G10" s="41">
        <v>431.29</v>
      </c>
      <c r="H10" s="42">
        <v>0</v>
      </c>
      <c r="I10" s="43" t="s">
        <v>136</v>
      </c>
      <c r="J10" s="44">
        <v>1149820</v>
      </c>
      <c r="K10" s="45"/>
      <c r="L10" s="27"/>
      <c r="M10" s="27"/>
    </row>
    <row r="11" spans="1:14" s="28" customFormat="1" ht="14.25" x14ac:dyDescent="0.3">
      <c r="A11" s="37" t="s">
        <v>21</v>
      </c>
      <c r="B11" s="38" t="s">
        <v>19</v>
      </c>
      <c r="C11" s="39">
        <v>5368976</v>
      </c>
      <c r="D11" s="40">
        <v>43115</v>
      </c>
      <c r="E11" s="40">
        <v>43144</v>
      </c>
      <c r="F11" s="39">
        <v>0</v>
      </c>
      <c r="G11" s="41">
        <v>0</v>
      </c>
      <c r="H11" s="46">
        <v>802514.02</v>
      </c>
      <c r="I11" s="43">
        <v>0</v>
      </c>
      <c r="J11" s="44">
        <v>802510</v>
      </c>
      <c r="K11" s="45"/>
      <c r="L11" s="27"/>
      <c r="M11" s="27"/>
    </row>
    <row r="12" spans="1:14" s="28" customFormat="1" ht="14.25" x14ac:dyDescent="0.3">
      <c r="A12" s="37" t="s">
        <v>22</v>
      </c>
      <c r="B12" s="38" t="s">
        <v>19</v>
      </c>
      <c r="C12" s="39">
        <v>6635543</v>
      </c>
      <c r="D12" s="40">
        <v>43115</v>
      </c>
      <c r="E12" s="40">
        <v>43144</v>
      </c>
      <c r="F12" s="39">
        <f>12960+2880</f>
        <v>15840</v>
      </c>
      <c r="G12" s="41">
        <v>363.86</v>
      </c>
      <c r="H12" s="42">
        <v>736763.95</v>
      </c>
      <c r="I12" s="43" t="s">
        <v>135</v>
      </c>
      <c r="J12" s="44">
        <v>6494240</v>
      </c>
      <c r="K12" s="47"/>
      <c r="L12" s="27"/>
      <c r="M12" s="27"/>
    </row>
    <row r="13" spans="1:14" s="28" customFormat="1" ht="14.25" x14ac:dyDescent="0.3">
      <c r="A13" s="37" t="s">
        <v>23</v>
      </c>
      <c r="B13" s="38" t="s">
        <v>24</v>
      </c>
      <c r="C13" s="39">
        <v>2004344</v>
      </c>
      <c r="D13" s="40">
        <v>43120</v>
      </c>
      <c r="E13" s="40">
        <v>43151</v>
      </c>
      <c r="F13" s="39">
        <v>9680</v>
      </c>
      <c r="G13" s="41">
        <v>398.13</v>
      </c>
      <c r="H13" s="42">
        <v>0</v>
      </c>
      <c r="I13" s="43" t="s">
        <v>135</v>
      </c>
      <c r="J13" s="44">
        <v>3853900</v>
      </c>
      <c r="K13" s="45"/>
      <c r="L13" s="27"/>
      <c r="M13" s="27"/>
    </row>
    <row r="14" spans="1:14" s="28" customFormat="1" ht="14.25" x14ac:dyDescent="0.3">
      <c r="A14" s="37" t="s">
        <v>25</v>
      </c>
      <c r="B14" s="38" t="s">
        <v>24</v>
      </c>
      <c r="C14" s="39">
        <v>2018405</v>
      </c>
      <c r="D14" s="40">
        <v>43120</v>
      </c>
      <c r="E14" s="40">
        <v>43151</v>
      </c>
      <c r="F14" s="39">
        <v>15280</v>
      </c>
      <c r="G14" s="41">
        <v>398.12</v>
      </c>
      <c r="H14" s="42">
        <v>0</v>
      </c>
      <c r="I14" s="43" t="s">
        <v>135</v>
      </c>
      <c r="J14" s="44">
        <v>6083420</v>
      </c>
      <c r="K14" s="45"/>
      <c r="L14" s="27"/>
      <c r="M14" s="27"/>
    </row>
    <row r="15" spans="1:14" s="28" customFormat="1" ht="14.25" x14ac:dyDescent="0.3">
      <c r="A15" s="37" t="s">
        <v>26</v>
      </c>
      <c r="B15" s="38" t="s">
        <v>24</v>
      </c>
      <c r="C15" s="39">
        <v>4328759</v>
      </c>
      <c r="D15" s="40">
        <v>43123</v>
      </c>
      <c r="E15" s="40">
        <v>43153</v>
      </c>
      <c r="F15" s="39">
        <v>5050</v>
      </c>
      <c r="G15" s="41">
        <v>431.29</v>
      </c>
      <c r="H15" s="42">
        <v>0</v>
      </c>
      <c r="I15" s="43" t="s">
        <v>135</v>
      </c>
      <c r="J15" s="44">
        <v>2178020</v>
      </c>
      <c r="K15" s="45"/>
      <c r="L15" s="27"/>
      <c r="M15" s="27"/>
    </row>
    <row r="16" spans="1:14" s="28" customFormat="1" ht="14.25" x14ac:dyDescent="0.3">
      <c r="A16" s="37" t="s">
        <v>27</v>
      </c>
      <c r="B16" s="38" t="s">
        <v>24</v>
      </c>
      <c r="C16" s="39">
        <v>4328760</v>
      </c>
      <c r="D16" s="40">
        <v>43123</v>
      </c>
      <c r="E16" s="40">
        <v>43153</v>
      </c>
      <c r="F16" s="39">
        <v>3451</v>
      </c>
      <c r="G16" s="41">
        <v>431.29</v>
      </c>
      <c r="H16" s="42">
        <v>0</v>
      </c>
      <c r="I16" s="43" t="s">
        <v>136</v>
      </c>
      <c r="J16" s="44">
        <v>1488380</v>
      </c>
      <c r="K16" s="45"/>
      <c r="L16" s="27"/>
      <c r="M16" s="27"/>
    </row>
    <row r="17" spans="1:13" s="28" customFormat="1" ht="14.25" x14ac:dyDescent="0.3">
      <c r="A17" s="37" t="s">
        <v>28</v>
      </c>
      <c r="B17" s="38" t="s">
        <v>24</v>
      </c>
      <c r="C17" s="39">
        <v>4328762</v>
      </c>
      <c r="D17" s="40">
        <v>43123</v>
      </c>
      <c r="E17" s="40">
        <v>43153</v>
      </c>
      <c r="F17" s="39">
        <v>3343</v>
      </c>
      <c r="G17" s="41">
        <v>398.13</v>
      </c>
      <c r="H17" s="42">
        <v>0</v>
      </c>
      <c r="I17" s="43" t="s">
        <v>136</v>
      </c>
      <c r="J17" s="44">
        <v>1330950</v>
      </c>
      <c r="K17" s="45"/>
      <c r="L17" s="27"/>
      <c r="M17" s="27"/>
    </row>
    <row r="18" spans="1:13" s="28" customFormat="1" ht="14.25" x14ac:dyDescent="0.3">
      <c r="A18" s="37" t="s">
        <v>29</v>
      </c>
      <c r="B18" s="38" t="s">
        <v>24</v>
      </c>
      <c r="C18" s="39">
        <v>5874257</v>
      </c>
      <c r="D18" s="40">
        <v>43120</v>
      </c>
      <c r="E18" s="40">
        <v>43151</v>
      </c>
      <c r="F18" s="39">
        <v>11200</v>
      </c>
      <c r="G18" s="41">
        <v>398.13</v>
      </c>
      <c r="H18" s="42">
        <v>0</v>
      </c>
      <c r="I18" s="48" t="s">
        <v>135</v>
      </c>
      <c r="J18" s="44">
        <v>4459060</v>
      </c>
      <c r="K18" s="47"/>
      <c r="L18" s="27"/>
      <c r="M18" s="27"/>
    </row>
    <row r="19" spans="1:13" s="28" customFormat="1" ht="14.25" x14ac:dyDescent="0.3">
      <c r="A19" s="37" t="s">
        <v>137</v>
      </c>
      <c r="B19" s="49" t="s">
        <v>31</v>
      </c>
      <c r="C19" s="39">
        <v>2019015</v>
      </c>
      <c r="D19" s="40">
        <v>43124</v>
      </c>
      <c r="E19" s="40">
        <v>43154</v>
      </c>
      <c r="F19" s="39">
        <f>20+81+6160+25080</f>
        <v>31341</v>
      </c>
      <c r="G19" s="41">
        <v>361.91</v>
      </c>
      <c r="H19" s="42">
        <v>0</v>
      </c>
      <c r="I19" s="43" t="s">
        <v>135</v>
      </c>
      <c r="J19" s="44">
        <v>11337730</v>
      </c>
      <c r="K19" s="50"/>
      <c r="L19" s="27"/>
      <c r="M19" s="27"/>
    </row>
    <row r="20" spans="1:13" s="28" customFormat="1" ht="14.25" x14ac:dyDescent="0.3">
      <c r="A20" s="37" t="s">
        <v>138</v>
      </c>
      <c r="B20" s="38" t="s">
        <v>33</v>
      </c>
      <c r="C20" s="39">
        <v>6923412</v>
      </c>
      <c r="D20" s="40">
        <v>43455</v>
      </c>
      <c r="E20" s="40">
        <v>43123</v>
      </c>
      <c r="F20" s="39">
        <f>56760+13860</f>
        <v>70620</v>
      </c>
      <c r="G20" s="41">
        <v>363.86</v>
      </c>
      <c r="H20" s="42">
        <v>1080969</v>
      </c>
      <c r="I20" s="43" t="s">
        <v>135</v>
      </c>
      <c r="J20" s="44">
        <v>26888330</v>
      </c>
      <c r="K20" s="50"/>
      <c r="L20" s="27"/>
      <c r="M20" s="27"/>
    </row>
    <row r="21" spans="1:13" s="28" customFormat="1" ht="14.25" x14ac:dyDescent="0.3">
      <c r="A21" s="37" t="s">
        <v>139</v>
      </c>
      <c r="B21" s="38" t="s">
        <v>35</v>
      </c>
      <c r="C21" s="39">
        <v>2313737</v>
      </c>
      <c r="D21" s="40">
        <v>43123</v>
      </c>
      <c r="E21" s="40">
        <v>43154</v>
      </c>
      <c r="F21" s="39">
        <f>19+82+25960+6160</f>
        <v>32221</v>
      </c>
      <c r="G21" s="41">
        <v>366.93</v>
      </c>
      <c r="H21" s="42">
        <v>0</v>
      </c>
      <c r="I21" s="43" t="s">
        <v>135</v>
      </c>
      <c r="J21" s="44">
        <v>11676240</v>
      </c>
      <c r="K21" s="50"/>
      <c r="L21" s="27"/>
      <c r="M21" s="27"/>
    </row>
    <row r="22" spans="1:13" s="28" customFormat="1" ht="14.25" x14ac:dyDescent="0.3">
      <c r="A22" s="37" t="s">
        <v>140</v>
      </c>
      <c r="B22" s="38" t="s">
        <v>37</v>
      </c>
      <c r="C22" s="39">
        <v>6950624</v>
      </c>
      <c r="D22" s="40">
        <v>43116</v>
      </c>
      <c r="E22" s="40">
        <v>43146</v>
      </c>
      <c r="F22" s="39">
        <f>22+79+6499+23290</f>
        <v>29890</v>
      </c>
      <c r="G22" s="41">
        <v>361.9</v>
      </c>
      <c r="H22" s="42">
        <v>0</v>
      </c>
      <c r="I22" s="43" t="s">
        <v>135</v>
      </c>
      <c r="J22" s="44">
        <v>10814340</v>
      </c>
      <c r="K22" s="50"/>
      <c r="L22" s="27"/>
      <c r="M22" s="27"/>
    </row>
    <row r="23" spans="1:13" s="28" customFormat="1" ht="14.25" x14ac:dyDescent="0.3">
      <c r="A23" s="37" t="s">
        <v>141</v>
      </c>
      <c r="B23" s="38" t="s">
        <v>39</v>
      </c>
      <c r="C23" s="39">
        <v>6831837</v>
      </c>
      <c r="D23" s="40">
        <v>43090</v>
      </c>
      <c r="E23" s="40">
        <v>43124</v>
      </c>
      <c r="F23" s="39">
        <f>17820+76560</f>
        <v>94380</v>
      </c>
      <c r="G23" s="41">
        <v>363.86</v>
      </c>
      <c r="H23" s="42">
        <v>4190741.58</v>
      </c>
      <c r="I23" s="43" t="s">
        <v>135</v>
      </c>
      <c r="J23" s="44">
        <v>38619880</v>
      </c>
      <c r="K23" s="50"/>
      <c r="L23" s="27"/>
      <c r="M23" s="27"/>
    </row>
    <row r="24" spans="1:13" s="28" customFormat="1" ht="14.25" x14ac:dyDescent="0.3">
      <c r="A24" s="37" t="s">
        <v>142</v>
      </c>
      <c r="B24" s="38" t="s">
        <v>41</v>
      </c>
      <c r="C24" s="39">
        <v>2011897</v>
      </c>
      <c r="D24" s="40">
        <v>43120</v>
      </c>
      <c r="E24" s="40">
        <v>43151</v>
      </c>
      <c r="F24" s="39">
        <f>30800+118800</f>
        <v>149600</v>
      </c>
      <c r="G24" s="41">
        <v>362.71</v>
      </c>
      <c r="H24" s="42">
        <v>0</v>
      </c>
      <c r="I24" s="43" t="s">
        <v>135</v>
      </c>
      <c r="J24" s="44">
        <v>54391390</v>
      </c>
      <c r="K24" s="50"/>
      <c r="L24" s="27"/>
      <c r="M24" s="27"/>
    </row>
    <row r="25" spans="1:13" s="28" customFormat="1" ht="14.25" x14ac:dyDescent="0.3">
      <c r="A25" s="37" t="s">
        <v>143</v>
      </c>
      <c r="B25" s="38" t="s">
        <v>43</v>
      </c>
      <c r="C25" s="39">
        <v>2000067</v>
      </c>
      <c r="D25" s="40">
        <v>43124</v>
      </c>
      <c r="E25" s="40">
        <v>43155</v>
      </c>
      <c r="F25" s="39">
        <f>6960+18040</f>
        <v>25000</v>
      </c>
      <c r="G25" s="41">
        <v>362.7</v>
      </c>
      <c r="H25" s="42">
        <v>0</v>
      </c>
      <c r="I25" s="43" t="s">
        <v>135</v>
      </c>
      <c r="J25" s="44">
        <v>8129280</v>
      </c>
      <c r="K25" s="50"/>
      <c r="L25" s="27"/>
      <c r="M25" s="27"/>
    </row>
    <row r="26" spans="1:13" s="28" customFormat="1" ht="14.25" x14ac:dyDescent="0.3">
      <c r="A26" s="37" t="s">
        <v>144</v>
      </c>
      <c r="B26" s="38" t="s">
        <v>45</v>
      </c>
      <c r="C26" s="39">
        <v>7759707</v>
      </c>
      <c r="D26" s="40">
        <v>43117</v>
      </c>
      <c r="E26" s="40">
        <v>43147</v>
      </c>
      <c r="F26" s="39">
        <f>11440+18040+3960</f>
        <v>33440</v>
      </c>
      <c r="G26" s="41">
        <v>366.93</v>
      </c>
      <c r="H26" s="42">
        <v>0</v>
      </c>
      <c r="I26" s="43" t="s">
        <v>135</v>
      </c>
      <c r="J26" s="44">
        <v>9896310</v>
      </c>
      <c r="K26" s="50"/>
      <c r="L26" s="27"/>
      <c r="M26" s="27"/>
    </row>
    <row r="27" spans="1:13" s="28" customFormat="1" ht="14.25" x14ac:dyDescent="0.3">
      <c r="A27" s="37" t="s">
        <v>145</v>
      </c>
      <c r="B27" s="38" t="s">
        <v>47</v>
      </c>
      <c r="C27" s="39">
        <v>7674119</v>
      </c>
      <c r="D27" s="40">
        <v>43122</v>
      </c>
      <c r="E27" s="40">
        <v>43153</v>
      </c>
      <c r="F27" s="39">
        <v>189</v>
      </c>
      <c r="G27" s="41">
        <v>431.29</v>
      </c>
      <c r="H27" s="42">
        <v>0</v>
      </c>
      <c r="I27" s="43" t="s">
        <v>136</v>
      </c>
      <c r="J27" s="44">
        <v>118510</v>
      </c>
      <c r="K27" s="47"/>
      <c r="L27" s="27"/>
      <c r="M27" s="27"/>
    </row>
    <row r="28" spans="1:13" s="28" customFormat="1" ht="14.25" x14ac:dyDescent="0.3">
      <c r="A28" s="37" t="s">
        <v>146</v>
      </c>
      <c r="B28" s="38" t="s">
        <v>49</v>
      </c>
      <c r="C28" s="39">
        <v>2344622</v>
      </c>
      <c r="D28" s="40">
        <v>43118</v>
      </c>
      <c r="E28" s="40">
        <v>43149</v>
      </c>
      <c r="F28" s="39">
        <v>1437</v>
      </c>
      <c r="G28" s="41">
        <v>431.29</v>
      </c>
      <c r="H28" s="42">
        <v>0</v>
      </c>
      <c r="I28" s="43" t="s">
        <v>135</v>
      </c>
      <c r="J28" s="44">
        <v>619760</v>
      </c>
      <c r="K28" s="50"/>
      <c r="L28" s="27"/>
      <c r="M28" s="27"/>
    </row>
    <row r="29" spans="1:13" s="28" customFormat="1" ht="14.25" x14ac:dyDescent="0.3">
      <c r="A29" s="37" t="s">
        <v>147</v>
      </c>
      <c r="B29" s="38" t="s">
        <v>51</v>
      </c>
      <c r="C29" s="39">
        <v>2260912</v>
      </c>
      <c r="D29" s="40">
        <v>43115</v>
      </c>
      <c r="E29" s="40">
        <v>43145</v>
      </c>
      <c r="F29" s="39">
        <v>170</v>
      </c>
      <c r="G29" s="41">
        <v>431.29</v>
      </c>
      <c r="H29" s="42">
        <v>0</v>
      </c>
      <c r="I29" s="43" t="s">
        <v>135</v>
      </c>
      <c r="J29" s="44">
        <v>73320</v>
      </c>
      <c r="K29" s="50"/>
      <c r="L29" s="27"/>
      <c r="M29" s="27"/>
    </row>
    <row r="30" spans="1:13" s="28" customFormat="1" ht="14.25" x14ac:dyDescent="0.3">
      <c r="A30" s="37" t="s">
        <v>148</v>
      </c>
      <c r="B30" s="38" t="s">
        <v>53</v>
      </c>
      <c r="C30" s="39">
        <v>6831966</v>
      </c>
      <c r="D30" s="40">
        <v>43118</v>
      </c>
      <c r="E30" s="40">
        <v>43150</v>
      </c>
      <c r="F30" s="39">
        <v>6800</v>
      </c>
      <c r="G30" s="41">
        <v>431.29</v>
      </c>
      <c r="H30" s="42">
        <v>0</v>
      </c>
      <c r="I30" s="43" t="s">
        <v>135</v>
      </c>
      <c r="J30" s="44">
        <v>2932770</v>
      </c>
      <c r="K30" s="50"/>
      <c r="L30" s="27"/>
      <c r="M30" s="27"/>
    </row>
    <row r="31" spans="1:13" s="28" customFormat="1" ht="14.25" x14ac:dyDescent="0.3">
      <c r="A31" s="37" t="s">
        <v>149</v>
      </c>
      <c r="B31" s="38" t="s">
        <v>55</v>
      </c>
      <c r="C31" s="39">
        <v>6554457</v>
      </c>
      <c r="D31" s="40">
        <v>43119</v>
      </c>
      <c r="E31" s="40">
        <v>43149</v>
      </c>
      <c r="F31" s="39">
        <v>101</v>
      </c>
      <c r="G31" s="41">
        <v>431.29</v>
      </c>
      <c r="H31" s="42">
        <v>0</v>
      </c>
      <c r="I31" s="43" t="s">
        <v>135</v>
      </c>
      <c r="J31" s="44">
        <v>0</v>
      </c>
      <c r="K31" s="45"/>
      <c r="L31" s="27"/>
      <c r="M31" s="27"/>
    </row>
    <row r="32" spans="1:13" s="28" customFormat="1" ht="14.25" x14ac:dyDescent="0.3">
      <c r="A32" s="37" t="s">
        <v>150</v>
      </c>
      <c r="B32" s="38" t="s">
        <v>57</v>
      </c>
      <c r="C32" s="39">
        <v>6566213</v>
      </c>
      <c r="D32" s="40">
        <v>43119</v>
      </c>
      <c r="E32" s="40">
        <v>43149</v>
      </c>
      <c r="F32" s="39">
        <v>0</v>
      </c>
      <c r="G32" s="41">
        <v>0</v>
      </c>
      <c r="H32" s="42">
        <v>0</v>
      </c>
      <c r="I32" s="43" t="s">
        <v>135</v>
      </c>
      <c r="J32" s="44">
        <v>0</v>
      </c>
      <c r="K32" s="47"/>
      <c r="L32" s="27"/>
      <c r="M32" s="27"/>
    </row>
    <row r="33" spans="1:13" s="28" customFormat="1" ht="14.25" x14ac:dyDescent="0.3">
      <c r="A33" s="37" t="s">
        <v>151</v>
      </c>
      <c r="B33" s="38" t="s">
        <v>59</v>
      </c>
      <c r="C33" s="39">
        <v>2017256</v>
      </c>
      <c r="D33" s="40">
        <v>43125</v>
      </c>
      <c r="E33" s="40">
        <v>43155</v>
      </c>
      <c r="F33" s="39">
        <v>4560</v>
      </c>
      <c r="G33" s="41">
        <v>431.29</v>
      </c>
      <c r="H33" s="42">
        <v>0</v>
      </c>
      <c r="I33" s="43" t="s">
        <v>135</v>
      </c>
      <c r="J33" s="44">
        <v>1966690</v>
      </c>
      <c r="K33" s="50"/>
      <c r="L33" s="27"/>
      <c r="M33" s="27"/>
    </row>
    <row r="34" spans="1:13" s="28" customFormat="1" ht="14.25" x14ac:dyDescent="0.3">
      <c r="A34" s="37" t="s">
        <v>152</v>
      </c>
      <c r="B34" s="38" t="s">
        <v>61</v>
      </c>
      <c r="C34" s="39">
        <v>2003465</v>
      </c>
      <c r="D34" s="40">
        <v>43116</v>
      </c>
      <c r="E34" s="40">
        <v>43145</v>
      </c>
      <c r="F34" s="39">
        <v>17920</v>
      </c>
      <c r="G34" s="41">
        <v>431.29</v>
      </c>
      <c r="H34" s="42">
        <v>0</v>
      </c>
      <c r="I34" s="43" t="s">
        <v>135</v>
      </c>
      <c r="J34" s="44">
        <v>7728710</v>
      </c>
      <c r="K34" s="50"/>
      <c r="L34" s="27"/>
      <c r="M34" s="27"/>
    </row>
    <row r="35" spans="1:13" s="28" customFormat="1" ht="14.25" x14ac:dyDescent="0.3">
      <c r="A35" s="37" t="s">
        <v>153</v>
      </c>
      <c r="B35" s="49" t="s">
        <v>63</v>
      </c>
      <c r="C35" s="39">
        <v>2000038</v>
      </c>
      <c r="D35" s="40">
        <v>43118</v>
      </c>
      <c r="E35" s="40">
        <v>43150</v>
      </c>
      <c r="F35" s="39">
        <v>3200</v>
      </c>
      <c r="G35" s="41">
        <v>398.13</v>
      </c>
      <c r="H35" s="42">
        <v>0</v>
      </c>
      <c r="I35" s="43" t="s">
        <v>135</v>
      </c>
      <c r="J35" s="44">
        <v>1274020</v>
      </c>
      <c r="K35" s="50"/>
      <c r="L35" s="27"/>
      <c r="M35" s="27"/>
    </row>
    <row r="36" spans="1:13" s="28" customFormat="1" ht="14.25" x14ac:dyDescent="0.3">
      <c r="A36" s="37" t="s">
        <v>154</v>
      </c>
      <c r="B36" s="38" t="s">
        <v>65</v>
      </c>
      <c r="C36" s="39">
        <v>6247438</v>
      </c>
      <c r="D36" s="40">
        <v>43117</v>
      </c>
      <c r="E36" s="40">
        <v>43147</v>
      </c>
      <c r="F36" s="39">
        <v>1568</v>
      </c>
      <c r="G36" s="41">
        <v>431.29</v>
      </c>
      <c r="H36" s="42">
        <v>0</v>
      </c>
      <c r="I36" s="43" t="s">
        <v>135</v>
      </c>
      <c r="J36" s="44">
        <v>676260</v>
      </c>
      <c r="K36" s="50"/>
      <c r="L36" s="27"/>
      <c r="M36" s="27"/>
    </row>
    <row r="37" spans="1:13" s="28" customFormat="1" ht="14.25" x14ac:dyDescent="0.3">
      <c r="A37" s="37" t="s">
        <v>155</v>
      </c>
      <c r="B37" s="38" t="s">
        <v>67</v>
      </c>
      <c r="C37" s="39">
        <v>7515261</v>
      </c>
      <c r="D37" s="40">
        <v>43105</v>
      </c>
      <c r="E37" s="40">
        <v>43136</v>
      </c>
      <c r="F37" s="39">
        <f>101+1555</f>
        <v>1656</v>
      </c>
      <c r="G37" s="41">
        <v>431.29</v>
      </c>
      <c r="H37" s="42">
        <v>0</v>
      </c>
      <c r="I37" s="43" t="s">
        <v>135</v>
      </c>
      <c r="J37" s="44">
        <v>670660</v>
      </c>
      <c r="K37" s="50"/>
      <c r="L37" s="27"/>
      <c r="M37" s="27"/>
    </row>
    <row r="38" spans="1:13" s="28" customFormat="1" ht="14.25" x14ac:dyDescent="0.3">
      <c r="A38" s="37" t="s">
        <v>156</v>
      </c>
      <c r="B38" s="38" t="s">
        <v>69</v>
      </c>
      <c r="C38" s="39">
        <v>2019560</v>
      </c>
      <c r="D38" s="40">
        <v>43118</v>
      </c>
      <c r="E38" s="40">
        <v>43150</v>
      </c>
      <c r="F38" s="39">
        <f>101+4560</f>
        <v>4661</v>
      </c>
      <c r="G38" s="41">
        <v>431.29</v>
      </c>
      <c r="H38" s="42">
        <v>0</v>
      </c>
      <c r="I38" s="43" t="s">
        <v>135</v>
      </c>
      <c r="J38" s="44">
        <v>1966690</v>
      </c>
      <c r="K38" s="50"/>
      <c r="L38" s="27"/>
      <c r="M38" s="27"/>
    </row>
    <row r="39" spans="1:13" s="28" customFormat="1" ht="14.25" x14ac:dyDescent="0.3">
      <c r="A39" s="37" t="s">
        <v>157</v>
      </c>
      <c r="B39" s="38" t="s">
        <v>71</v>
      </c>
      <c r="C39" s="39">
        <v>6514252</v>
      </c>
      <c r="D39" s="40">
        <v>43116</v>
      </c>
      <c r="E39" s="40">
        <v>43146</v>
      </c>
      <c r="F39" s="39">
        <v>2720</v>
      </c>
      <c r="G39" s="41">
        <v>398.13</v>
      </c>
      <c r="H39" s="42">
        <v>0</v>
      </c>
      <c r="I39" s="43" t="s">
        <v>135</v>
      </c>
      <c r="J39" s="44">
        <v>1082910</v>
      </c>
      <c r="K39" s="50"/>
      <c r="L39" s="27"/>
      <c r="M39" s="27"/>
    </row>
    <row r="40" spans="1:13" s="28" customFormat="1" ht="14.25" x14ac:dyDescent="0.3">
      <c r="A40" s="37" t="s">
        <v>158</v>
      </c>
      <c r="B40" s="38" t="s">
        <v>73</v>
      </c>
      <c r="C40" s="39">
        <v>2255372</v>
      </c>
      <c r="D40" s="40">
        <v>43113</v>
      </c>
      <c r="E40" s="40">
        <v>43147</v>
      </c>
      <c r="F40" s="39">
        <v>5156</v>
      </c>
      <c r="G40" s="41">
        <v>431.29</v>
      </c>
      <c r="H40" s="42">
        <v>0</v>
      </c>
      <c r="I40" s="43" t="s">
        <v>135</v>
      </c>
      <c r="J40" s="44">
        <v>2223730</v>
      </c>
      <c r="K40" s="50"/>
      <c r="L40" s="27"/>
      <c r="M40" s="27"/>
    </row>
    <row r="41" spans="1:13" s="28" customFormat="1" ht="14.25" x14ac:dyDescent="0.3">
      <c r="A41" s="51" t="s">
        <v>159</v>
      </c>
      <c r="B41" s="52" t="s">
        <v>75</v>
      </c>
      <c r="C41" s="53">
        <v>2018851</v>
      </c>
      <c r="D41" s="54">
        <v>43117</v>
      </c>
      <c r="E41" s="54">
        <v>43147</v>
      </c>
      <c r="F41" s="53">
        <f>101+253</f>
        <v>354</v>
      </c>
      <c r="G41" s="55">
        <v>431.29</v>
      </c>
      <c r="H41" s="56">
        <v>0</v>
      </c>
      <c r="I41" s="57" t="s">
        <v>135</v>
      </c>
      <c r="J41" s="58">
        <v>109120</v>
      </c>
      <c r="K41" s="50"/>
      <c r="L41" s="27"/>
      <c r="M41" s="27"/>
    </row>
    <row r="42" spans="1:13" s="28" customFormat="1" ht="14.25" x14ac:dyDescent="0.3">
      <c r="A42" s="37" t="s">
        <v>160</v>
      </c>
      <c r="B42" s="38" t="s">
        <v>77</v>
      </c>
      <c r="C42" s="39">
        <v>2008125</v>
      </c>
      <c r="D42" s="40">
        <v>43125</v>
      </c>
      <c r="E42" s="40">
        <v>43155</v>
      </c>
      <c r="F42" s="39">
        <f>101+6120</f>
        <v>6221</v>
      </c>
      <c r="G42" s="41">
        <v>431.29</v>
      </c>
      <c r="H42" s="42">
        <v>0</v>
      </c>
      <c r="I42" s="43" t="s">
        <v>135</v>
      </c>
      <c r="J42" s="44">
        <v>2639490</v>
      </c>
      <c r="K42" s="50"/>
      <c r="L42" s="27"/>
      <c r="M42" s="27"/>
    </row>
    <row r="43" spans="1:13" s="28" customFormat="1" ht="14.25" x14ac:dyDescent="0.3">
      <c r="A43" s="37" t="s">
        <v>161</v>
      </c>
      <c r="B43" s="38" t="s">
        <v>79</v>
      </c>
      <c r="C43" s="39">
        <v>6932768</v>
      </c>
      <c r="D43" s="40">
        <v>43116</v>
      </c>
      <c r="E43" s="40">
        <v>43146</v>
      </c>
      <c r="F43" s="39">
        <f>101+7440</f>
        <v>7541</v>
      </c>
      <c r="G43" s="41">
        <v>398.13</v>
      </c>
      <c r="H43" s="42">
        <v>0</v>
      </c>
      <c r="I43" s="43" t="s">
        <v>135</v>
      </c>
      <c r="J43" s="44">
        <v>2962090</v>
      </c>
      <c r="K43" s="50"/>
      <c r="L43" s="27"/>
      <c r="M43" s="27"/>
    </row>
    <row r="44" spans="1:13" s="28" customFormat="1" ht="14.25" x14ac:dyDescent="0.3">
      <c r="A44" s="59" t="s">
        <v>162</v>
      </c>
      <c r="B44" s="49" t="s">
        <v>81</v>
      </c>
      <c r="C44" s="60">
        <v>2110674</v>
      </c>
      <c r="D44" s="40">
        <v>43109</v>
      </c>
      <c r="E44" s="40">
        <v>43143</v>
      </c>
      <c r="F44" s="39">
        <f>101+2151</f>
        <v>2252</v>
      </c>
      <c r="G44" s="41">
        <v>431.29</v>
      </c>
      <c r="H44" s="42">
        <v>0</v>
      </c>
      <c r="I44" s="43" t="s">
        <v>135</v>
      </c>
      <c r="J44" s="44">
        <v>927710</v>
      </c>
      <c r="K44" s="50"/>
      <c r="L44" s="27"/>
      <c r="M44" s="27"/>
    </row>
    <row r="45" spans="1:13" s="28" customFormat="1" ht="14.25" x14ac:dyDescent="0.3">
      <c r="A45" s="59" t="s">
        <v>163</v>
      </c>
      <c r="B45" s="49" t="s">
        <v>83</v>
      </c>
      <c r="C45" s="60">
        <v>6927918</v>
      </c>
      <c r="D45" s="40">
        <v>43116</v>
      </c>
      <c r="E45" s="40">
        <v>43146</v>
      </c>
      <c r="F45" s="39">
        <f>101+5100</f>
        <v>5201</v>
      </c>
      <c r="G45" s="41">
        <v>398.13</v>
      </c>
      <c r="H45" s="42">
        <v>15364.81</v>
      </c>
      <c r="I45" s="43" t="s">
        <v>135</v>
      </c>
      <c r="J45" s="44">
        <v>2045830</v>
      </c>
      <c r="K45" s="50"/>
      <c r="L45" s="27"/>
      <c r="M45" s="27"/>
    </row>
    <row r="46" spans="1:13" s="28" customFormat="1" ht="14.25" x14ac:dyDescent="0.3">
      <c r="A46" s="37" t="s">
        <v>164</v>
      </c>
      <c r="B46" s="49" t="s">
        <v>85</v>
      </c>
      <c r="C46" s="39">
        <v>7598539</v>
      </c>
      <c r="D46" s="40">
        <v>43124</v>
      </c>
      <c r="E46" s="40">
        <v>43154</v>
      </c>
      <c r="F46" s="39">
        <v>4873</v>
      </c>
      <c r="G46" s="41">
        <v>398.12</v>
      </c>
      <c r="H46" s="42">
        <v>0</v>
      </c>
      <c r="I46" s="43" t="s">
        <v>136</v>
      </c>
      <c r="J46" s="44">
        <v>1940080</v>
      </c>
      <c r="K46" s="50"/>
      <c r="L46" s="27"/>
      <c r="M46" s="27"/>
    </row>
    <row r="47" spans="1:13" s="28" customFormat="1" ht="14.25" x14ac:dyDescent="0.3">
      <c r="A47" s="37" t="s">
        <v>165</v>
      </c>
      <c r="B47" s="49" t="s">
        <v>87</v>
      </c>
      <c r="C47" s="39">
        <v>2365600</v>
      </c>
      <c r="D47" s="40">
        <v>43120</v>
      </c>
      <c r="E47" s="40">
        <v>43150</v>
      </c>
      <c r="F47" s="39">
        <v>0</v>
      </c>
      <c r="G47" s="41">
        <v>0</v>
      </c>
      <c r="H47" s="42">
        <v>0</v>
      </c>
      <c r="I47" s="43" t="s">
        <v>136</v>
      </c>
      <c r="J47" s="44">
        <v>0</v>
      </c>
      <c r="K47" s="50"/>
      <c r="L47" s="27"/>
      <c r="M47" s="27"/>
    </row>
    <row r="48" spans="1:13" s="28" customFormat="1" ht="14.25" x14ac:dyDescent="0.3">
      <c r="A48" s="37" t="s">
        <v>166</v>
      </c>
      <c r="B48" s="38" t="s">
        <v>89</v>
      </c>
      <c r="C48" s="39">
        <v>6948635</v>
      </c>
      <c r="D48" s="40">
        <v>43091</v>
      </c>
      <c r="E48" s="40">
        <v>43123</v>
      </c>
      <c r="F48" s="39">
        <f>102+13840</f>
        <v>13942</v>
      </c>
      <c r="G48" s="41">
        <v>433.79</v>
      </c>
      <c r="H48" s="42">
        <v>0</v>
      </c>
      <c r="I48" s="43" t="s">
        <v>135</v>
      </c>
      <c r="J48" s="44">
        <v>6003660</v>
      </c>
      <c r="K48" s="50"/>
      <c r="L48" s="27"/>
      <c r="M48" s="27"/>
    </row>
    <row r="49" spans="1:13" s="28" customFormat="1" ht="14.25" x14ac:dyDescent="0.3">
      <c r="A49" s="37" t="s">
        <v>167</v>
      </c>
      <c r="B49" s="38" t="s">
        <v>91</v>
      </c>
      <c r="C49" s="39">
        <v>6922898</v>
      </c>
      <c r="D49" s="40">
        <v>43124</v>
      </c>
      <c r="E49" s="40">
        <v>43154</v>
      </c>
      <c r="F49" s="39">
        <f>101+7200</f>
        <v>7301</v>
      </c>
      <c r="G49" s="41">
        <v>398.13</v>
      </c>
      <c r="H49" s="42">
        <v>0</v>
      </c>
      <c r="I49" s="43" t="s">
        <v>135</v>
      </c>
      <c r="J49" s="44">
        <v>2866540</v>
      </c>
      <c r="K49" s="50"/>
      <c r="L49" s="27"/>
      <c r="M49" s="27"/>
    </row>
    <row r="50" spans="1:13" s="28" customFormat="1" ht="14.25" x14ac:dyDescent="0.3">
      <c r="A50" s="37" t="s">
        <v>168</v>
      </c>
      <c r="B50" s="38" t="s">
        <v>93</v>
      </c>
      <c r="C50" s="39">
        <v>6519048</v>
      </c>
      <c r="D50" s="40">
        <v>43120</v>
      </c>
      <c r="E50" s="40">
        <v>43151</v>
      </c>
      <c r="F50" s="39">
        <v>4000</v>
      </c>
      <c r="G50" s="41">
        <v>398.13</v>
      </c>
      <c r="H50" s="42">
        <v>0</v>
      </c>
      <c r="I50" s="43" t="s">
        <v>135</v>
      </c>
      <c r="J50" s="44">
        <v>1592520</v>
      </c>
      <c r="K50" s="50"/>
      <c r="L50" s="27"/>
      <c r="M50" s="27"/>
    </row>
    <row r="51" spans="1:13" s="28" customFormat="1" ht="14.25" x14ac:dyDescent="0.3">
      <c r="A51" s="37" t="s">
        <v>169</v>
      </c>
      <c r="B51" s="38" t="s">
        <v>95</v>
      </c>
      <c r="C51" s="39">
        <v>2070151</v>
      </c>
      <c r="D51" s="40">
        <v>43124</v>
      </c>
      <c r="E51" s="40">
        <v>43155</v>
      </c>
      <c r="F51" s="39">
        <f>101+6000</f>
        <v>6101</v>
      </c>
      <c r="G51" s="41">
        <v>398.13</v>
      </c>
      <c r="H51" s="42">
        <v>0</v>
      </c>
      <c r="I51" s="43" t="s">
        <v>135</v>
      </c>
      <c r="J51" s="44">
        <v>2388780</v>
      </c>
      <c r="K51" s="50"/>
      <c r="L51" s="27"/>
      <c r="M51" s="27"/>
    </row>
    <row r="52" spans="1:13" s="28" customFormat="1" ht="14.25" x14ac:dyDescent="0.3">
      <c r="A52" s="37" t="s">
        <v>170</v>
      </c>
      <c r="B52" s="38" t="s">
        <v>97</v>
      </c>
      <c r="C52" s="40" t="s">
        <v>98</v>
      </c>
      <c r="D52" s="40" t="s">
        <v>171</v>
      </c>
      <c r="E52" s="40" t="s">
        <v>171</v>
      </c>
      <c r="F52" s="39">
        <v>0</v>
      </c>
      <c r="G52" s="41">
        <v>0</v>
      </c>
      <c r="H52" s="42">
        <v>0</v>
      </c>
      <c r="I52" s="43" t="s">
        <v>171</v>
      </c>
      <c r="J52" s="44">
        <v>0</v>
      </c>
      <c r="K52" s="50"/>
      <c r="L52" s="27"/>
      <c r="M52" s="27"/>
    </row>
    <row r="53" spans="1:13" s="28" customFormat="1" ht="14.25" x14ac:dyDescent="0.3">
      <c r="A53" s="37" t="s">
        <v>172</v>
      </c>
      <c r="B53" s="49" t="s">
        <v>100</v>
      </c>
      <c r="C53" s="39">
        <v>6943228</v>
      </c>
      <c r="D53" s="40">
        <v>43123</v>
      </c>
      <c r="E53" s="40">
        <v>43154</v>
      </c>
      <c r="F53" s="39">
        <v>6640</v>
      </c>
      <c r="G53" s="41">
        <v>398.13</v>
      </c>
      <c r="H53" s="42">
        <v>0</v>
      </c>
      <c r="I53" s="61" t="s">
        <v>135</v>
      </c>
      <c r="J53" s="44">
        <v>2643590</v>
      </c>
      <c r="K53" s="50"/>
      <c r="L53" s="27"/>
      <c r="M53" s="27"/>
    </row>
    <row r="54" spans="1:13" s="28" customFormat="1" ht="14.25" x14ac:dyDescent="0.3">
      <c r="A54" s="37" t="s">
        <v>173</v>
      </c>
      <c r="B54" s="38" t="s">
        <v>102</v>
      </c>
      <c r="C54" s="39">
        <v>2039645</v>
      </c>
      <c r="D54" s="40">
        <v>43114</v>
      </c>
      <c r="E54" s="40">
        <v>43144</v>
      </c>
      <c r="F54" s="39">
        <v>2307</v>
      </c>
      <c r="G54" s="41">
        <v>431.29</v>
      </c>
      <c r="H54" s="42">
        <v>0</v>
      </c>
      <c r="I54" s="43" t="s">
        <v>135</v>
      </c>
      <c r="J54" s="44">
        <v>994990</v>
      </c>
      <c r="K54" s="50"/>
      <c r="L54" s="27"/>
      <c r="M54" s="27"/>
    </row>
    <row r="55" spans="1:13" s="28" customFormat="1" ht="14.25" x14ac:dyDescent="0.3">
      <c r="A55" s="37" t="s">
        <v>174</v>
      </c>
      <c r="B55" s="38" t="s">
        <v>104</v>
      </c>
      <c r="C55" s="39">
        <v>2001158</v>
      </c>
      <c r="D55" s="40">
        <v>43123</v>
      </c>
      <c r="E55" s="40">
        <v>43154</v>
      </c>
      <c r="F55" s="39">
        <f>101+5680</f>
        <v>5781</v>
      </c>
      <c r="G55" s="41">
        <v>431.29</v>
      </c>
      <c r="H55" s="42">
        <v>0</v>
      </c>
      <c r="I55" s="43" t="s">
        <v>135</v>
      </c>
      <c r="J55" s="44">
        <v>2449720</v>
      </c>
      <c r="K55" s="50"/>
      <c r="L55" s="27"/>
      <c r="M55" s="27"/>
    </row>
    <row r="56" spans="1:13" s="28" customFormat="1" ht="14.25" x14ac:dyDescent="0.3">
      <c r="A56" s="37" t="s">
        <v>175</v>
      </c>
      <c r="B56" s="38" t="s">
        <v>106</v>
      </c>
      <c r="C56" s="39">
        <v>2018606</v>
      </c>
      <c r="D56" s="40">
        <v>43118</v>
      </c>
      <c r="E56" s="40">
        <v>43148</v>
      </c>
      <c r="F56" s="39">
        <v>1585</v>
      </c>
      <c r="G56" s="41">
        <v>43129</v>
      </c>
      <c r="H56" s="42">
        <v>0</v>
      </c>
      <c r="I56" s="43" t="s">
        <v>135</v>
      </c>
      <c r="J56" s="44">
        <v>683590</v>
      </c>
      <c r="K56" s="50"/>
      <c r="L56" s="27"/>
      <c r="M56" s="27"/>
    </row>
    <row r="57" spans="1:13" s="28" customFormat="1" ht="14.25" x14ac:dyDescent="0.3">
      <c r="A57" s="319" t="s">
        <v>3</v>
      </c>
      <c r="B57" s="319" t="s">
        <v>4</v>
      </c>
      <c r="C57" s="319" t="s">
        <v>5</v>
      </c>
      <c r="D57" s="319" t="s">
        <v>6</v>
      </c>
      <c r="E57" s="319"/>
      <c r="F57" s="36" t="s">
        <v>7</v>
      </c>
      <c r="G57" s="36" t="s">
        <v>132</v>
      </c>
      <c r="H57" s="319" t="s">
        <v>133</v>
      </c>
      <c r="I57" s="319" t="s">
        <v>134</v>
      </c>
      <c r="J57" s="320" t="s">
        <v>11</v>
      </c>
      <c r="K57" s="50"/>
      <c r="L57" s="27"/>
      <c r="M57" s="27"/>
    </row>
    <row r="58" spans="1:13" s="28" customFormat="1" ht="14.25" x14ac:dyDescent="0.3">
      <c r="A58" s="319"/>
      <c r="B58" s="319"/>
      <c r="C58" s="319"/>
      <c r="D58" s="36" t="s">
        <v>15</v>
      </c>
      <c r="E58" s="36" t="s">
        <v>16</v>
      </c>
      <c r="F58" s="36" t="s">
        <v>17</v>
      </c>
      <c r="G58" s="36" t="s">
        <v>17</v>
      </c>
      <c r="H58" s="319"/>
      <c r="I58" s="319"/>
      <c r="J58" s="320"/>
      <c r="K58" s="50"/>
      <c r="L58" s="27"/>
      <c r="M58" s="27"/>
    </row>
    <row r="59" spans="1:13" s="28" customFormat="1" ht="14.25" x14ac:dyDescent="0.3">
      <c r="A59" s="37" t="s">
        <v>176</v>
      </c>
      <c r="B59" s="38" t="s">
        <v>108</v>
      </c>
      <c r="C59" s="39">
        <v>7610688</v>
      </c>
      <c r="D59" s="40">
        <v>43122</v>
      </c>
      <c r="E59" s="40">
        <v>43152</v>
      </c>
      <c r="F59" s="39">
        <v>4225</v>
      </c>
      <c r="G59" s="41">
        <v>398.13</v>
      </c>
      <c r="H59" s="42">
        <v>0</v>
      </c>
      <c r="I59" s="43" t="s">
        <v>135</v>
      </c>
      <c r="J59" s="44">
        <v>1694110</v>
      </c>
      <c r="K59" s="50"/>
      <c r="L59" s="27"/>
      <c r="M59" s="27"/>
    </row>
    <row r="60" spans="1:13" s="28" customFormat="1" ht="14.25" x14ac:dyDescent="0.3">
      <c r="A60" s="37" t="s">
        <v>177</v>
      </c>
      <c r="B60" s="38" t="s">
        <v>110</v>
      </c>
      <c r="C60" s="39">
        <v>2072562</v>
      </c>
      <c r="D60" s="40">
        <v>43123</v>
      </c>
      <c r="E60" s="40">
        <v>43154</v>
      </c>
      <c r="F60" s="39">
        <f>101+3120</f>
        <v>3221</v>
      </c>
      <c r="G60" s="41">
        <v>398.12</v>
      </c>
      <c r="H60" s="42">
        <v>0</v>
      </c>
      <c r="I60" s="43" t="s">
        <v>135</v>
      </c>
      <c r="J60" s="44">
        <v>1242170</v>
      </c>
      <c r="K60" s="50"/>
      <c r="L60" s="27"/>
      <c r="M60" s="27"/>
    </row>
    <row r="61" spans="1:13" s="28" customFormat="1" ht="14.25" x14ac:dyDescent="0.3">
      <c r="A61" s="37" t="s">
        <v>178</v>
      </c>
      <c r="B61" s="38" t="s">
        <v>112</v>
      </c>
      <c r="C61" s="39">
        <v>6636122</v>
      </c>
      <c r="D61" s="40">
        <v>43123</v>
      </c>
      <c r="E61" s="40">
        <v>43153</v>
      </c>
      <c r="F61" s="39">
        <v>1203</v>
      </c>
      <c r="G61" s="41">
        <v>431.29</v>
      </c>
      <c r="H61" s="42">
        <v>0</v>
      </c>
      <c r="I61" s="43" t="s">
        <v>135</v>
      </c>
      <c r="J61" s="44">
        <v>518850</v>
      </c>
      <c r="K61" s="50"/>
      <c r="L61" s="27"/>
      <c r="M61" s="27"/>
    </row>
    <row r="62" spans="1:13" s="28" customFormat="1" ht="14.25" x14ac:dyDescent="0.3">
      <c r="A62" s="37" t="s">
        <v>179</v>
      </c>
      <c r="B62" s="38" t="s">
        <v>114</v>
      </c>
      <c r="C62" s="39">
        <v>6923414</v>
      </c>
      <c r="D62" s="40">
        <v>43124</v>
      </c>
      <c r="E62" s="40">
        <v>43155</v>
      </c>
      <c r="F62" s="39">
        <v>5280</v>
      </c>
      <c r="G62" s="41">
        <v>398.12</v>
      </c>
      <c r="H62" s="42">
        <v>0</v>
      </c>
      <c r="I62" s="43" t="s">
        <v>135</v>
      </c>
      <c r="J62" s="44">
        <v>2102130</v>
      </c>
      <c r="K62" s="26"/>
      <c r="L62" s="27"/>
      <c r="M62" s="27"/>
    </row>
    <row r="63" spans="1:13" s="28" customFormat="1" ht="14.25" x14ac:dyDescent="0.3">
      <c r="A63" s="37" t="s">
        <v>180</v>
      </c>
      <c r="B63" s="38" t="s">
        <v>116</v>
      </c>
      <c r="C63" s="39">
        <v>2103750</v>
      </c>
      <c r="D63" s="40">
        <v>43116</v>
      </c>
      <c r="E63" s="40">
        <v>43146</v>
      </c>
      <c r="F63" s="39">
        <f>101+8080</f>
        <v>8181</v>
      </c>
      <c r="G63" s="41">
        <v>431.29</v>
      </c>
      <c r="H63" s="42">
        <v>0</v>
      </c>
      <c r="I63" s="43" t="s">
        <v>135</v>
      </c>
      <c r="J63" s="44">
        <v>3484830</v>
      </c>
      <c r="K63" s="26"/>
      <c r="L63" s="27"/>
      <c r="M63" s="27"/>
    </row>
    <row r="64" spans="1:13" s="28" customFormat="1" ht="15" customHeight="1" x14ac:dyDescent="0.3">
      <c r="A64" s="62"/>
      <c r="B64" s="63"/>
      <c r="C64" s="64"/>
      <c r="D64" s="65"/>
      <c r="E64" s="65"/>
      <c r="F64" s="66">
        <f>SUM(F9:F63)</f>
        <v>737429</v>
      </c>
      <c r="G64" s="66">
        <f>SUM(G9:G63)</f>
        <v>62631.510000000009</v>
      </c>
      <c r="H64" s="67">
        <f>SUM(H9:H63)</f>
        <v>6826353.3599999994</v>
      </c>
      <c r="I64" s="68"/>
      <c r="J64" s="69">
        <f>SUM(J9:J56,J59:J63)</f>
        <v>281334470</v>
      </c>
      <c r="K64" s="26"/>
      <c r="L64" s="27"/>
      <c r="M64" s="27"/>
    </row>
    <row r="65" spans="1:13" s="28" customFormat="1" ht="15" customHeight="1" x14ac:dyDescent="0.3">
      <c r="A65" s="27"/>
      <c r="B65" s="70"/>
      <c r="C65" s="70"/>
      <c r="D65" s="70"/>
      <c r="E65" s="71"/>
      <c r="F65" s="72"/>
      <c r="G65" s="72"/>
      <c r="H65" s="73"/>
      <c r="I65" s="73"/>
      <c r="J65" s="27"/>
      <c r="K65" s="26"/>
      <c r="L65" s="27"/>
      <c r="M65" s="27"/>
    </row>
    <row r="66" spans="1:13" s="28" customFormat="1" ht="14.25" x14ac:dyDescent="0.3">
      <c r="A66" s="321" t="s">
        <v>181</v>
      </c>
      <c r="B66" s="321"/>
      <c r="C66" s="321"/>
      <c r="D66" s="321"/>
      <c r="E66" s="72"/>
      <c r="F66" s="323" t="s">
        <v>182</v>
      </c>
      <c r="G66" s="323"/>
      <c r="H66" s="323"/>
      <c r="I66" s="323"/>
      <c r="J66" s="74">
        <f>+J64</f>
        <v>281334470</v>
      </c>
      <c r="K66" s="26"/>
      <c r="L66" s="27"/>
      <c r="M66" s="27"/>
    </row>
    <row r="67" spans="1:13" s="28" customFormat="1" ht="14.25" x14ac:dyDescent="0.3">
      <c r="A67" s="321"/>
      <c r="B67" s="321"/>
      <c r="C67" s="321"/>
      <c r="D67" s="321"/>
      <c r="E67" s="72"/>
      <c r="F67" s="324" t="s">
        <v>183</v>
      </c>
      <c r="G67" s="324"/>
      <c r="H67" s="324"/>
      <c r="I67" s="324"/>
      <c r="J67" s="75">
        <f>+J41</f>
        <v>109120</v>
      </c>
      <c r="K67" s="26"/>
      <c r="L67" s="27"/>
      <c r="M67" s="27"/>
    </row>
    <row r="68" spans="1:13" s="28" customFormat="1" ht="32.25" customHeight="1" x14ac:dyDescent="0.3">
      <c r="A68" s="322"/>
      <c r="B68" s="322"/>
      <c r="C68" s="322"/>
      <c r="D68" s="322"/>
      <c r="E68" s="72"/>
      <c r="F68" s="325" t="s">
        <v>184</v>
      </c>
      <c r="G68" s="325"/>
      <c r="H68" s="325"/>
      <c r="I68" s="325"/>
      <c r="J68" s="76">
        <f>+J66-J67</f>
        <v>281225350</v>
      </c>
      <c r="K68" s="26"/>
      <c r="L68" s="27"/>
      <c r="M68" s="27"/>
    </row>
    <row r="69" spans="1:13" s="28" customFormat="1" ht="14.25" x14ac:dyDescent="0.3">
      <c r="A69" s="27"/>
      <c r="B69" s="70"/>
      <c r="C69" s="27"/>
      <c r="D69" s="72"/>
      <c r="E69" s="72"/>
      <c r="F69" s="77"/>
      <c r="G69" s="77"/>
      <c r="H69" s="77"/>
      <c r="I69" s="77"/>
      <c r="J69" s="78"/>
      <c r="K69" s="79"/>
      <c r="L69" s="80"/>
      <c r="M69" s="27"/>
    </row>
    <row r="70" spans="1:13" s="28" customFormat="1" ht="15" customHeight="1" x14ac:dyDescent="0.3">
      <c r="A70" s="27"/>
      <c r="B70" s="70"/>
      <c r="C70" s="27"/>
      <c r="D70" s="72"/>
      <c r="E70" s="72"/>
      <c r="F70" s="77"/>
      <c r="G70" s="77"/>
      <c r="H70" s="77"/>
      <c r="I70" s="77"/>
      <c r="J70" s="78"/>
      <c r="K70" s="79"/>
      <c r="L70" s="80"/>
      <c r="M70" s="27"/>
    </row>
    <row r="71" spans="1:13" s="28" customFormat="1" ht="14.25" x14ac:dyDescent="0.3">
      <c r="A71" s="27" t="s">
        <v>185</v>
      </c>
      <c r="B71" s="70"/>
      <c r="C71" s="27"/>
      <c r="D71" s="72"/>
      <c r="E71" s="72"/>
      <c r="F71" s="81"/>
      <c r="G71" s="81"/>
      <c r="H71" s="81"/>
      <c r="I71" s="81"/>
      <c r="J71" s="82"/>
      <c r="K71" s="79"/>
      <c r="L71" s="80"/>
      <c r="M71" s="27"/>
    </row>
    <row r="72" spans="1:13" s="28" customFormat="1" ht="14.25" x14ac:dyDescent="0.3">
      <c r="A72" s="83" t="s">
        <v>186</v>
      </c>
      <c r="B72" s="84"/>
      <c r="C72" s="84"/>
      <c r="D72" s="84"/>
      <c r="E72" s="85"/>
      <c r="F72" s="85"/>
      <c r="G72" s="85"/>
      <c r="H72" s="85"/>
      <c r="I72" s="85"/>
      <c r="J72" s="85"/>
      <c r="K72" s="79"/>
      <c r="L72" s="80"/>
      <c r="M72" s="27"/>
    </row>
    <row r="73" spans="1:13" s="28" customFormat="1" ht="14.25" x14ac:dyDescent="0.3">
      <c r="A73" s="86" t="s">
        <v>187</v>
      </c>
      <c r="B73" s="84"/>
      <c r="C73" s="84"/>
      <c r="D73" s="84"/>
      <c r="E73" s="85"/>
      <c r="F73" s="85"/>
      <c r="G73" s="85"/>
      <c r="H73" s="85"/>
      <c r="I73" s="85"/>
      <c r="J73" s="85"/>
      <c r="K73" s="79"/>
      <c r="L73" s="80"/>
      <c r="M73" s="27"/>
    </row>
    <row r="74" spans="1:13" s="28" customFormat="1" ht="14.25" x14ac:dyDescent="0.3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26"/>
      <c r="L74" s="27"/>
      <c r="M74" s="27"/>
    </row>
    <row r="75" spans="1:13" s="28" customFormat="1" ht="14.25" x14ac:dyDescent="0.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26"/>
      <c r="L75" s="27"/>
      <c r="M75" s="27"/>
    </row>
  </sheetData>
  <mergeCells count="27">
    <mergeCell ref="A66:D68"/>
    <mergeCell ref="F66:I66"/>
    <mergeCell ref="F67:I67"/>
    <mergeCell ref="F68:I68"/>
    <mergeCell ref="J7:J8"/>
    <mergeCell ref="K7:K8"/>
    <mergeCell ref="A57:A58"/>
    <mergeCell ref="B57:B58"/>
    <mergeCell ref="C57:C58"/>
    <mergeCell ref="D57:E57"/>
    <mergeCell ref="H57:H58"/>
    <mergeCell ref="I57:I58"/>
    <mergeCell ref="J57:J58"/>
    <mergeCell ref="A7:A8"/>
    <mergeCell ref="B7:B8"/>
    <mergeCell ref="C7:C8"/>
    <mergeCell ref="D7:E7"/>
    <mergeCell ref="H7:H8"/>
    <mergeCell ref="I7:I8"/>
    <mergeCell ref="A1:J2"/>
    <mergeCell ref="D3:E3"/>
    <mergeCell ref="G3:J3"/>
    <mergeCell ref="D4:E4"/>
    <mergeCell ref="F4:F5"/>
    <mergeCell ref="H4:J4"/>
    <mergeCell ref="D5:E5"/>
    <mergeCell ref="H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49" workbookViewId="0">
      <selection activeCell="N47" sqref="N47"/>
    </sheetView>
  </sheetViews>
  <sheetFormatPr baseColWidth="10" defaultRowHeight="15" x14ac:dyDescent="0.25"/>
  <cols>
    <col min="1" max="1" width="35" customWidth="1"/>
    <col min="2" max="2" width="29.28515625" customWidth="1"/>
    <col min="3" max="3" width="12.85546875" customWidth="1"/>
    <col min="6" max="6" width="13.85546875" customWidth="1"/>
    <col min="7" max="7" width="14.140625" customWidth="1"/>
    <col min="8" max="8" width="17.85546875" customWidth="1"/>
    <col min="9" max="9" width="14.85546875" customWidth="1"/>
    <col min="10" max="10" width="20.5703125" customWidth="1"/>
    <col min="11" max="11" width="15.140625" customWidth="1"/>
  </cols>
  <sheetData>
    <row r="1" spans="1:14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308"/>
      <c r="K1" s="26"/>
      <c r="L1" s="27"/>
      <c r="M1" s="27"/>
      <c r="N1" s="27"/>
    </row>
    <row r="2" spans="1:14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26"/>
      <c r="M2" s="29"/>
    </row>
    <row r="3" spans="1:14" s="27" customFormat="1" ht="14.25" x14ac:dyDescent="0.3">
      <c r="C3" s="87" t="s">
        <v>119</v>
      </c>
      <c r="D3" s="309" t="s">
        <v>120</v>
      </c>
      <c r="E3" s="309"/>
      <c r="F3" s="87" t="s">
        <v>121</v>
      </c>
      <c r="G3" s="310" t="s">
        <v>188</v>
      </c>
      <c r="H3" s="311"/>
      <c r="I3" s="311"/>
      <c r="J3" s="312"/>
      <c r="K3" s="26"/>
      <c r="N3" s="31"/>
    </row>
    <row r="4" spans="1:14" s="27" customFormat="1" ht="14.25" x14ac:dyDescent="0.3">
      <c r="C4" s="87" t="s">
        <v>123</v>
      </c>
      <c r="D4" s="313" t="s">
        <v>189</v>
      </c>
      <c r="E4" s="313"/>
      <c r="F4" s="326" t="s">
        <v>125</v>
      </c>
      <c r="G4" s="88" t="s">
        <v>190</v>
      </c>
      <c r="H4" s="309" t="s">
        <v>191</v>
      </c>
      <c r="I4" s="309"/>
      <c r="J4" s="309"/>
      <c r="K4" s="26"/>
    </row>
    <row r="5" spans="1:14" s="27" customFormat="1" ht="14.25" x14ac:dyDescent="0.3">
      <c r="C5" s="87" t="s">
        <v>128</v>
      </c>
      <c r="D5" s="315" t="s">
        <v>129</v>
      </c>
      <c r="E5" s="316"/>
      <c r="F5" s="326"/>
      <c r="G5" s="89" t="s">
        <v>192</v>
      </c>
      <c r="H5" s="317" t="s">
        <v>193</v>
      </c>
      <c r="I5" s="317"/>
      <c r="J5" s="317"/>
      <c r="K5" s="26"/>
    </row>
    <row r="6" spans="1:14" s="27" customFormat="1" ht="14.25" x14ac:dyDescent="0.3">
      <c r="B6" s="34"/>
      <c r="C6" s="34"/>
      <c r="D6" s="34"/>
      <c r="E6" s="35"/>
      <c r="I6" s="34"/>
      <c r="J6" s="26"/>
      <c r="K6" s="26"/>
    </row>
    <row r="7" spans="1:14" s="28" customFormat="1" ht="15" customHeight="1" x14ac:dyDescent="0.3">
      <c r="A7" s="319" t="s">
        <v>3</v>
      </c>
      <c r="B7" s="319" t="s">
        <v>4</v>
      </c>
      <c r="C7" s="319" t="s">
        <v>5</v>
      </c>
      <c r="D7" s="319" t="s">
        <v>6</v>
      </c>
      <c r="E7" s="319"/>
      <c r="F7" s="36" t="s">
        <v>7</v>
      </c>
      <c r="G7" s="36" t="s">
        <v>132</v>
      </c>
      <c r="H7" s="319" t="s">
        <v>133</v>
      </c>
      <c r="I7" s="319" t="s">
        <v>134</v>
      </c>
      <c r="J7" s="320" t="s">
        <v>11</v>
      </c>
      <c r="K7" s="318"/>
      <c r="L7" s="27"/>
      <c r="M7" s="27"/>
      <c r="N7" s="27"/>
    </row>
    <row r="8" spans="1:14" s="28" customFormat="1" ht="14.25" x14ac:dyDescent="0.3">
      <c r="A8" s="319"/>
      <c r="B8" s="319"/>
      <c r="C8" s="319"/>
      <c r="D8" s="36" t="s">
        <v>15</v>
      </c>
      <c r="E8" s="36" t="s">
        <v>16</v>
      </c>
      <c r="F8" s="36" t="s">
        <v>17</v>
      </c>
      <c r="G8" s="36" t="s">
        <v>17</v>
      </c>
      <c r="H8" s="319"/>
      <c r="I8" s="319"/>
      <c r="J8" s="320"/>
      <c r="K8" s="318"/>
      <c r="L8" s="27"/>
      <c r="M8" s="27"/>
      <c r="N8" s="27"/>
    </row>
    <row r="9" spans="1:14" s="28" customFormat="1" ht="14.25" x14ac:dyDescent="0.3">
      <c r="A9" s="37" t="s">
        <v>18</v>
      </c>
      <c r="B9" s="38" t="s">
        <v>19</v>
      </c>
      <c r="C9" s="39">
        <v>2011839</v>
      </c>
      <c r="D9" s="40">
        <v>43144</v>
      </c>
      <c r="E9" s="40">
        <v>43171</v>
      </c>
      <c r="F9" s="39">
        <v>57120</v>
      </c>
      <c r="G9" s="41">
        <v>357.63</v>
      </c>
      <c r="H9" s="42">
        <v>0</v>
      </c>
      <c r="I9" s="43" t="s">
        <v>194</v>
      </c>
      <c r="J9" s="44">
        <v>20060290</v>
      </c>
      <c r="K9" s="45"/>
      <c r="L9" s="27"/>
      <c r="M9" s="27"/>
      <c r="N9" s="27"/>
    </row>
    <row r="10" spans="1:14" s="28" customFormat="1" ht="14.25" x14ac:dyDescent="0.3">
      <c r="A10" s="37" t="s">
        <v>20</v>
      </c>
      <c r="B10" s="38" t="s">
        <v>19</v>
      </c>
      <c r="C10" s="39">
        <v>2018732</v>
      </c>
      <c r="D10" s="40">
        <v>43151</v>
      </c>
      <c r="E10" s="40">
        <v>43178</v>
      </c>
      <c r="F10" s="39">
        <v>2181</v>
      </c>
      <c r="G10" s="41">
        <v>418.04</v>
      </c>
      <c r="H10" s="42">
        <v>0</v>
      </c>
      <c r="I10" s="43" t="s">
        <v>136</v>
      </c>
      <c r="J10" s="44">
        <v>911740</v>
      </c>
      <c r="K10" s="45"/>
      <c r="L10" s="27"/>
      <c r="M10" s="27"/>
      <c r="N10" s="27"/>
    </row>
    <row r="11" spans="1:14" s="28" customFormat="1" ht="14.25" x14ac:dyDescent="0.3">
      <c r="A11" s="37" t="s">
        <v>21</v>
      </c>
      <c r="B11" s="38" t="s">
        <v>19</v>
      </c>
      <c r="C11" s="39">
        <v>5368976</v>
      </c>
      <c r="D11" s="40">
        <v>43144</v>
      </c>
      <c r="E11" s="40">
        <v>43171</v>
      </c>
      <c r="F11" s="39">
        <v>0</v>
      </c>
      <c r="G11" s="41">
        <v>0</v>
      </c>
      <c r="H11" s="46">
        <v>0</v>
      </c>
      <c r="I11" s="43" t="s">
        <v>194</v>
      </c>
      <c r="J11" s="44">
        <v>0</v>
      </c>
      <c r="K11" s="45"/>
      <c r="L11" s="27"/>
      <c r="M11" s="27"/>
      <c r="N11" s="27"/>
    </row>
    <row r="12" spans="1:14" s="28" customFormat="1" ht="14.25" x14ac:dyDescent="0.3">
      <c r="A12" s="37" t="s">
        <v>22</v>
      </c>
      <c r="B12" s="38" t="s">
        <v>19</v>
      </c>
      <c r="C12" s="39">
        <v>6635543</v>
      </c>
      <c r="D12" s="40">
        <v>43144</v>
      </c>
      <c r="E12" s="40">
        <v>43171</v>
      </c>
      <c r="F12" s="39">
        <f>12240+2160</f>
        <v>14400</v>
      </c>
      <c r="G12" s="41">
        <v>357.63</v>
      </c>
      <c r="H12" s="42">
        <v>0</v>
      </c>
      <c r="I12" s="43" t="s">
        <v>194</v>
      </c>
      <c r="J12" s="44">
        <v>5051220</v>
      </c>
      <c r="K12" s="47"/>
      <c r="L12" s="27"/>
      <c r="M12" s="27"/>
      <c r="N12" s="27"/>
    </row>
    <row r="13" spans="1:14" s="28" customFormat="1" ht="14.25" x14ac:dyDescent="0.3">
      <c r="A13" s="37" t="s">
        <v>23</v>
      </c>
      <c r="B13" s="38" t="s">
        <v>24</v>
      </c>
      <c r="C13" s="39">
        <v>2004344</v>
      </c>
      <c r="D13" s="40">
        <v>43151</v>
      </c>
      <c r="E13" s="40">
        <v>43176</v>
      </c>
      <c r="F13" s="39">
        <v>10400</v>
      </c>
      <c r="G13" s="41">
        <v>384.91</v>
      </c>
      <c r="H13" s="42">
        <v>0</v>
      </c>
      <c r="I13" s="43" t="s">
        <v>194</v>
      </c>
      <c r="J13" s="44">
        <v>4003070</v>
      </c>
      <c r="K13" s="45"/>
      <c r="L13" s="27"/>
      <c r="M13" s="27"/>
      <c r="N13" s="27"/>
    </row>
    <row r="14" spans="1:14" s="28" customFormat="1" ht="14.25" x14ac:dyDescent="0.3">
      <c r="A14" s="37" t="s">
        <v>25</v>
      </c>
      <c r="B14" s="38" t="s">
        <v>24</v>
      </c>
      <c r="C14" s="39">
        <v>2018405</v>
      </c>
      <c r="D14" s="40">
        <v>43151</v>
      </c>
      <c r="E14" s="40">
        <v>43176</v>
      </c>
      <c r="F14" s="39">
        <v>13160</v>
      </c>
      <c r="G14" s="41">
        <v>384.91</v>
      </c>
      <c r="H14" s="42">
        <v>0</v>
      </c>
      <c r="I14" s="43" t="s">
        <v>194</v>
      </c>
      <c r="J14" s="44">
        <v>5065420</v>
      </c>
      <c r="K14" s="45"/>
      <c r="L14" s="27"/>
      <c r="M14" s="27"/>
      <c r="N14" s="27"/>
    </row>
    <row r="15" spans="1:14" s="28" customFormat="1" ht="14.25" x14ac:dyDescent="0.3">
      <c r="A15" s="37" t="s">
        <v>26</v>
      </c>
      <c r="B15" s="38" t="s">
        <v>24</v>
      </c>
      <c r="C15" s="39">
        <v>4328759</v>
      </c>
      <c r="D15" s="40">
        <v>43153</v>
      </c>
      <c r="E15" s="40">
        <v>43179</v>
      </c>
      <c r="F15" s="39">
        <v>5172</v>
      </c>
      <c r="G15" s="41">
        <v>418.04</v>
      </c>
      <c r="H15" s="42">
        <v>0</v>
      </c>
      <c r="I15" s="43" t="s">
        <v>194</v>
      </c>
      <c r="J15" s="44">
        <v>2162100</v>
      </c>
      <c r="K15" s="45"/>
      <c r="L15" s="27"/>
      <c r="M15" s="27"/>
      <c r="N15" s="27"/>
    </row>
    <row r="16" spans="1:14" s="28" customFormat="1" ht="14.25" x14ac:dyDescent="0.3">
      <c r="A16" s="37" t="s">
        <v>27</v>
      </c>
      <c r="B16" s="38" t="s">
        <v>24</v>
      </c>
      <c r="C16" s="39">
        <v>4328760</v>
      </c>
      <c r="D16" s="40">
        <v>43153</v>
      </c>
      <c r="E16" s="40">
        <v>43179</v>
      </c>
      <c r="F16" s="39">
        <v>0</v>
      </c>
      <c r="G16" s="41">
        <v>0</v>
      </c>
      <c r="H16" s="42">
        <v>0</v>
      </c>
      <c r="I16" s="43" t="s">
        <v>136</v>
      </c>
      <c r="J16" s="44">
        <v>0</v>
      </c>
      <c r="K16" s="45"/>
      <c r="L16" s="27"/>
      <c r="M16" s="27"/>
      <c r="N16" s="27"/>
    </row>
    <row r="17" spans="1:14" s="28" customFormat="1" ht="14.25" x14ac:dyDescent="0.3">
      <c r="A17" s="37" t="s">
        <v>28</v>
      </c>
      <c r="B17" s="38" t="s">
        <v>24</v>
      </c>
      <c r="C17" s="39">
        <v>4328762</v>
      </c>
      <c r="D17" s="40">
        <v>43153</v>
      </c>
      <c r="E17" s="40">
        <v>43179</v>
      </c>
      <c r="F17" s="39">
        <v>104</v>
      </c>
      <c r="G17" s="41">
        <v>384.91</v>
      </c>
      <c r="H17" s="42">
        <v>0</v>
      </c>
      <c r="I17" s="43" t="s">
        <v>194</v>
      </c>
      <c r="J17" s="44">
        <v>40030</v>
      </c>
      <c r="K17" s="45"/>
      <c r="L17" s="27"/>
      <c r="M17" s="27"/>
      <c r="N17" s="27"/>
    </row>
    <row r="18" spans="1:14" s="28" customFormat="1" ht="14.25" x14ac:dyDescent="0.3">
      <c r="A18" s="37" t="s">
        <v>29</v>
      </c>
      <c r="B18" s="38" t="s">
        <v>24</v>
      </c>
      <c r="C18" s="39">
        <v>5874257</v>
      </c>
      <c r="D18" s="40">
        <v>43151</v>
      </c>
      <c r="E18" s="40">
        <v>43176</v>
      </c>
      <c r="F18" s="39">
        <v>11200</v>
      </c>
      <c r="G18" s="41">
        <v>384.91</v>
      </c>
      <c r="H18" s="42">
        <v>0</v>
      </c>
      <c r="I18" s="48" t="s">
        <v>194</v>
      </c>
      <c r="J18" s="44">
        <v>4310990</v>
      </c>
      <c r="K18" s="47"/>
      <c r="L18" s="27"/>
      <c r="M18" s="27"/>
      <c r="N18" s="27"/>
    </row>
    <row r="19" spans="1:14" s="28" customFormat="1" ht="14.25" x14ac:dyDescent="0.3">
      <c r="A19" s="37" t="s">
        <v>137</v>
      </c>
      <c r="B19" s="49" t="s">
        <v>31</v>
      </c>
      <c r="C19" s="39">
        <v>2019015</v>
      </c>
      <c r="D19" s="40">
        <v>43154</v>
      </c>
      <c r="E19" s="40">
        <v>43180</v>
      </c>
      <c r="F19" s="39">
        <v>30800</v>
      </c>
      <c r="G19" s="41">
        <v>356.76</v>
      </c>
      <c r="H19" s="42">
        <v>0</v>
      </c>
      <c r="I19" s="43" t="s">
        <v>194</v>
      </c>
      <c r="J19" s="44">
        <v>10787880</v>
      </c>
      <c r="K19" s="50"/>
      <c r="L19" s="27"/>
      <c r="M19" s="27"/>
      <c r="N19" s="27"/>
    </row>
    <row r="20" spans="1:14" s="28" customFormat="1" ht="14.25" x14ac:dyDescent="0.3">
      <c r="A20" s="37" t="s">
        <v>138</v>
      </c>
      <c r="B20" s="38" t="s">
        <v>33</v>
      </c>
      <c r="C20" s="39">
        <v>6923412</v>
      </c>
      <c r="D20" s="40">
        <v>43123</v>
      </c>
      <c r="E20" s="40">
        <v>43152</v>
      </c>
      <c r="F20" s="39">
        <v>49500</v>
      </c>
      <c r="G20" s="41">
        <v>366.93</v>
      </c>
      <c r="H20" s="42">
        <v>0</v>
      </c>
      <c r="I20" s="43" t="s">
        <v>194</v>
      </c>
      <c r="J20" s="44">
        <v>17995920</v>
      </c>
      <c r="K20" s="50"/>
      <c r="L20" s="27"/>
      <c r="M20" s="27"/>
      <c r="N20" s="27"/>
    </row>
    <row r="21" spans="1:14" s="28" customFormat="1" ht="14.25" x14ac:dyDescent="0.3">
      <c r="A21" s="37" t="s">
        <v>139</v>
      </c>
      <c r="B21" s="38" t="s">
        <v>35</v>
      </c>
      <c r="C21" s="39">
        <v>2313737</v>
      </c>
      <c r="D21" s="40">
        <v>43154</v>
      </c>
      <c r="E21" s="40">
        <v>43176</v>
      </c>
      <c r="F21" s="39">
        <v>29480</v>
      </c>
      <c r="G21" s="41">
        <v>357.63</v>
      </c>
      <c r="H21" s="42">
        <v>0</v>
      </c>
      <c r="I21" s="43" t="s">
        <v>194</v>
      </c>
      <c r="J21" s="44">
        <v>10351420</v>
      </c>
      <c r="K21" s="50"/>
      <c r="L21" s="27"/>
      <c r="M21" s="27"/>
      <c r="N21" s="27"/>
    </row>
    <row r="22" spans="1:14" s="28" customFormat="1" ht="14.25" x14ac:dyDescent="0.3">
      <c r="A22" s="37" t="s">
        <v>140</v>
      </c>
      <c r="B22" s="38" t="s">
        <v>37</v>
      </c>
      <c r="C22" s="39">
        <v>6950624</v>
      </c>
      <c r="D22" s="40">
        <v>43146</v>
      </c>
      <c r="E22" s="40">
        <v>43173</v>
      </c>
      <c r="F22" s="39">
        <v>44550</v>
      </c>
      <c r="G22" s="41">
        <v>356.76</v>
      </c>
      <c r="H22" s="42">
        <v>0</v>
      </c>
      <c r="I22" s="43" t="s">
        <v>194</v>
      </c>
      <c r="J22" s="44">
        <v>15606590</v>
      </c>
      <c r="K22" s="50"/>
      <c r="L22" s="27"/>
      <c r="M22" s="27"/>
      <c r="N22" s="27"/>
    </row>
    <row r="23" spans="1:14" s="28" customFormat="1" ht="14.25" x14ac:dyDescent="0.3">
      <c r="A23" s="37" t="s">
        <v>141</v>
      </c>
      <c r="B23" s="38" t="s">
        <v>39</v>
      </c>
      <c r="C23" s="39">
        <v>6831837</v>
      </c>
      <c r="D23" s="40">
        <v>43124</v>
      </c>
      <c r="E23" s="40">
        <v>43155</v>
      </c>
      <c r="F23" s="39">
        <v>67980</v>
      </c>
      <c r="G23" s="41">
        <v>367.05</v>
      </c>
      <c r="H23" s="42">
        <v>0</v>
      </c>
      <c r="I23" s="43" t="s">
        <v>194</v>
      </c>
      <c r="J23" s="44">
        <v>24667090</v>
      </c>
      <c r="K23" s="50"/>
      <c r="L23" s="27"/>
      <c r="M23" s="27"/>
      <c r="N23" s="27"/>
    </row>
    <row r="24" spans="1:14" s="28" customFormat="1" ht="14.25" x14ac:dyDescent="0.3">
      <c r="A24" s="37" t="s">
        <v>142</v>
      </c>
      <c r="B24" s="38" t="s">
        <v>41</v>
      </c>
      <c r="C24" s="39">
        <v>2011897</v>
      </c>
      <c r="D24" s="40">
        <v>43151</v>
      </c>
      <c r="E24" s="40">
        <v>43176</v>
      </c>
      <c r="F24" s="39">
        <v>151800</v>
      </c>
      <c r="G24" s="41">
        <v>357.63</v>
      </c>
      <c r="H24" s="42">
        <v>0</v>
      </c>
      <c r="I24" s="43" t="s">
        <v>194</v>
      </c>
      <c r="J24" s="44">
        <v>53330710</v>
      </c>
      <c r="K24" s="50"/>
      <c r="L24" s="27"/>
      <c r="M24" s="27"/>
      <c r="N24" s="27"/>
    </row>
    <row r="25" spans="1:14" s="28" customFormat="1" ht="14.25" x14ac:dyDescent="0.3">
      <c r="A25" s="37" t="s">
        <v>143</v>
      </c>
      <c r="B25" s="38" t="s">
        <v>43</v>
      </c>
      <c r="C25" s="39">
        <v>2000067</v>
      </c>
      <c r="D25" s="40">
        <v>43155</v>
      </c>
      <c r="E25" s="40">
        <v>43181</v>
      </c>
      <c r="F25" s="39">
        <v>24640</v>
      </c>
      <c r="G25" s="41">
        <v>357.63</v>
      </c>
      <c r="H25" s="42">
        <v>0</v>
      </c>
      <c r="I25" s="43" t="s">
        <v>194</v>
      </c>
      <c r="J25" s="44">
        <v>8781830</v>
      </c>
      <c r="K25" s="50"/>
      <c r="L25" s="27"/>
      <c r="M25" s="27"/>
      <c r="N25" s="27"/>
    </row>
    <row r="26" spans="1:14" s="28" customFormat="1" ht="14.25" x14ac:dyDescent="0.3">
      <c r="A26" s="37" t="s">
        <v>144</v>
      </c>
      <c r="B26" s="38" t="s">
        <v>45</v>
      </c>
      <c r="C26" s="39">
        <v>7759707</v>
      </c>
      <c r="D26" s="40">
        <v>43147</v>
      </c>
      <c r="E26" s="40">
        <v>43173</v>
      </c>
      <c r="F26" s="39">
        <v>18920</v>
      </c>
      <c r="G26" s="41">
        <v>357.63</v>
      </c>
      <c r="H26" s="42">
        <v>0</v>
      </c>
      <c r="I26" s="43" t="s">
        <v>194</v>
      </c>
      <c r="J26" s="44">
        <v>8399280</v>
      </c>
      <c r="K26" s="47"/>
      <c r="L26" s="27"/>
      <c r="M26" s="27"/>
      <c r="N26" s="27"/>
    </row>
    <row r="27" spans="1:14" s="28" customFormat="1" ht="14.25" x14ac:dyDescent="0.3">
      <c r="A27" s="37" t="s">
        <v>145</v>
      </c>
      <c r="B27" s="38" t="s">
        <v>47</v>
      </c>
      <c r="C27" s="39">
        <v>7674119</v>
      </c>
      <c r="D27" s="40">
        <v>43153</v>
      </c>
      <c r="E27" s="40">
        <v>43178</v>
      </c>
      <c r="F27" s="39">
        <v>179</v>
      </c>
      <c r="G27" s="41">
        <v>418.04</v>
      </c>
      <c r="H27" s="42">
        <v>0</v>
      </c>
      <c r="I27" s="43" t="s">
        <v>136</v>
      </c>
      <c r="J27" s="44">
        <v>111830</v>
      </c>
      <c r="K27" s="47"/>
      <c r="L27" s="27"/>
      <c r="M27" s="27"/>
      <c r="N27" s="27"/>
    </row>
    <row r="28" spans="1:14" s="28" customFormat="1" ht="14.25" x14ac:dyDescent="0.3">
      <c r="A28" s="37" t="s">
        <v>146</v>
      </c>
      <c r="B28" s="38" t="s">
        <v>49</v>
      </c>
      <c r="C28" s="39">
        <v>2344622</v>
      </c>
      <c r="D28" s="40">
        <v>43149</v>
      </c>
      <c r="E28" s="40">
        <v>43174</v>
      </c>
      <c r="F28" s="39">
        <v>1318</v>
      </c>
      <c r="G28" s="41">
        <v>418.04</v>
      </c>
      <c r="H28" s="42">
        <v>0</v>
      </c>
      <c r="I28" s="43" t="s">
        <v>194</v>
      </c>
      <c r="J28" s="44">
        <v>550980</v>
      </c>
      <c r="K28" s="50"/>
      <c r="L28" s="27"/>
      <c r="M28" s="27"/>
      <c r="N28" s="27"/>
    </row>
    <row r="29" spans="1:14" s="28" customFormat="1" ht="14.25" x14ac:dyDescent="0.3">
      <c r="A29" s="37" t="s">
        <v>147</v>
      </c>
      <c r="B29" s="38" t="s">
        <v>51</v>
      </c>
      <c r="C29" s="39">
        <v>2260912</v>
      </c>
      <c r="D29" s="40">
        <v>43145</v>
      </c>
      <c r="E29" s="40">
        <v>43172</v>
      </c>
      <c r="F29" s="39">
        <v>133</v>
      </c>
      <c r="G29" s="41">
        <v>418.04</v>
      </c>
      <c r="H29" s="42">
        <v>0</v>
      </c>
      <c r="I29" s="43" t="s">
        <v>194</v>
      </c>
      <c r="J29" s="44">
        <v>55600</v>
      </c>
      <c r="K29" s="50"/>
      <c r="L29" s="27"/>
      <c r="M29" s="27"/>
      <c r="N29" s="27"/>
    </row>
    <row r="30" spans="1:14" s="28" customFormat="1" ht="14.25" x14ac:dyDescent="0.3">
      <c r="A30" s="37" t="s">
        <v>148</v>
      </c>
      <c r="B30" s="38" t="s">
        <v>53</v>
      </c>
      <c r="C30" s="39">
        <v>6831966</v>
      </c>
      <c r="D30" s="40">
        <v>43150</v>
      </c>
      <c r="E30" s="40">
        <v>43174</v>
      </c>
      <c r="F30" s="39">
        <v>6480</v>
      </c>
      <c r="G30" s="41">
        <v>418.04</v>
      </c>
      <c r="H30" s="42">
        <v>0</v>
      </c>
      <c r="I30" s="43" t="s">
        <v>194</v>
      </c>
      <c r="J30" s="44">
        <v>2708900</v>
      </c>
      <c r="K30" s="50"/>
      <c r="L30" s="27"/>
      <c r="M30" s="27"/>
      <c r="N30" s="27"/>
    </row>
    <row r="31" spans="1:14" s="28" customFormat="1" ht="14.25" x14ac:dyDescent="0.3">
      <c r="A31" s="37" t="s">
        <v>151</v>
      </c>
      <c r="B31" s="38" t="s">
        <v>59</v>
      </c>
      <c r="C31" s="39">
        <v>2017256</v>
      </c>
      <c r="D31" s="40">
        <v>43155</v>
      </c>
      <c r="E31" s="40">
        <v>43181</v>
      </c>
      <c r="F31" s="39">
        <v>5040</v>
      </c>
      <c r="G31" s="41">
        <v>418.04</v>
      </c>
      <c r="H31" s="42">
        <v>0</v>
      </c>
      <c r="I31" s="43" t="s">
        <v>194</v>
      </c>
      <c r="J31" s="44">
        <v>2106920</v>
      </c>
      <c r="K31" s="50"/>
      <c r="L31" s="27"/>
      <c r="M31" s="27"/>
      <c r="N31" s="27"/>
    </row>
    <row r="32" spans="1:14" s="28" customFormat="1" ht="14.25" x14ac:dyDescent="0.3">
      <c r="A32" s="90" t="s">
        <v>152</v>
      </c>
      <c r="B32" s="91" t="s">
        <v>61</v>
      </c>
      <c r="C32" s="92">
        <v>2003465</v>
      </c>
      <c r="D32" s="93">
        <v>43145</v>
      </c>
      <c r="E32" s="93">
        <v>43172</v>
      </c>
      <c r="F32" s="92">
        <v>23280</v>
      </c>
      <c r="G32" s="94">
        <v>418.04</v>
      </c>
      <c r="H32" s="95">
        <v>0</v>
      </c>
      <c r="I32" s="96" t="s">
        <v>194</v>
      </c>
      <c r="J32" s="97">
        <v>9731980</v>
      </c>
      <c r="K32" s="50"/>
      <c r="L32" s="27"/>
      <c r="M32" s="27"/>
      <c r="N32" s="27"/>
    </row>
    <row r="33" spans="1:14" s="28" customFormat="1" ht="14.25" x14ac:dyDescent="0.3">
      <c r="A33" s="37" t="s">
        <v>153</v>
      </c>
      <c r="B33" s="49" t="s">
        <v>63</v>
      </c>
      <c r="C33" s="39">
        <v>2000038</v>
      </c>
      <c r="D33" s="40">
        <v>43150</v>
      </c>
      <c r="E33" s="40">
        <v>43174</v>
      </c>
      <c r="F33" s="39">
        <v>3120</v>
      </c>
      <c r="G33" s="41">
        <v>384.91</v>
      </c>
      <c r="H33" s="42">
        <v>0</v>
      </c>
      <c r="I33" s="43" t="s">
        <v>194</v>
      </c>
      <c r="J33" s="44">
        <v>1200920</v>
      </c>
      <c r="K33" s="50"/>
      <c r="L33" s="27"/>
      <c r="M33" s="27"/>
      <c r="N33" s="27"/>
    </row>
    <row r="34" spans="1:14" s="28" customFormat="1" ht="14.25" x14ac:dyDescent="0.3">
      <c r="A34" s="37" t="s">
        <v>154</v>
      </c>
      <c r="B34" s="38" t="s">
        <v>65</v>
      </c>
      <c r="C34" s="39">
        <v>6247438</v>
      </c>
      <c r="D34" s="40">
        <v>43147</v>
      </c>
      <c r="E34" s="40">
        <v>43174</v>
      </c>
      <c r="F34" s="39">
        <v>1623</v>
      </c>
      <c r="G34" s="41">
        <v>418.04</v>
      </c>
      <c r="H34" s="42">
        <v>0</v>
      </c>
      <c r="I34" s="43" t="s">
        <v>194</v>
      </c>
      <c r="J34" s="44">
        <v>678480</v>
      </c>
      <c r="K34" s="50"/>
      <c r="L34" s="27"/>
      <c r="M34" s="27"/>
      <c r="N34" s="27"/>
    </row>
    <row r="35" spans="1:14" s="28" customFormat="1" ht="14.25" x14ac:dyDescent="0.3">
      <c r="A35" s="37" t="s">
        <v>155</v>
      </c>
      <c r="B35" s="38" t="s">
        <v>67</v>
      </c>
      <c r="C35" s="39">
        <v>7515261</v>
      </c>
      <c r="D35" s="40">
        <v>43136</v>
      </c>
      <c r="E35" s="40">
        <v>43164</v>
      </c>
      <c r="F35" s="39">
        <f>831+133</f>
        <v>964</v>
      </c>
      <c r="G35" s="41">
        <v>418.04</v>
      </c>
      <c r="H35" s="42">
        <v>0</v>
      </c>
      <c r="I35" s="43" t="s">
        <v>194</v>
      </c>
      <c r="J35" s="44">
        <v>347390</v>
      </c>
      <c r="K35" s="50"/>
      <c r="L35" s="27"/>
      <c r="M35" s="27"/>
      <c r="N35" s="27"/>
    </row>
    <row r="36" spans="1:14" s="28" customFormat="1" ht="14.25" x14ac:dyDescent="0.3">
      <c r="A36" s="37" t="s">
        <v>156</v>
      </c>
      <c r="B36" s="38" t="s">
        <v>69</v>
      </c>
      <c r="C36" s="39">
        <v>2019560</v>
      </c>
      <c r="D36" s="40">
        <v>43150</v>
      </c>
      <c r="E36" s="40">
        <v>43174</v>
      </c>
      <c r="F36" s="39">
        <f>5840+130</f>
        <v>5970</v>
      </c>
      <c r="G36" s="41">
        <v>418.04</v>
      </c>
      <c r="H36" s="42">
        <v>0</v>
      </c>
      <c r="I36" s="43" t="s">
        <v>194</v>
      </c>
      <c r="J36" s="44">
        <v>2441350</v>
      </c>
      <c r="K36" s="50"/>
      <c r="L36" s="27"/>
      <c r="M36" s="27"/>
      <c r="N36" s="27"/>
    </row>
    <row r="37" spans="1:14" s="28" customFormat="1" ht="14.25" x14ac:dyDescent="0.3">
      <c r="A37" s="37" t="s">
        <v>157</v>
      </c>
      <c r="B37" s="38" t="s">
        <v>71</v>
      </c>
      <c r="C37" s="39">
        <v>6514252</v>
      </c>
      <c r="D37" s="40">
        <v>43146</v>
      </c>
      <c r="E37" s="40">
        <v>43172</v>
      </c>
      <c r="F37" s="39">
        <v>2720</v>
      </c>
      <c r="G37" s="41">
        <v>384.91</v>
      </c>
      <c r="H37" s="42">
        <v>0</v>
      </c>
      <c r="I37" s="43" t="s">
        <v>194</v>
      </c>
      <c r="J37" s="44">
        <v>1046960</v>
      </c>
      <c r="K37" s="50"/>
      <c r="L37" s="27"/>
      <c r="M37" s="27"/>
      <c r="N37" s="27"/>
    </row>
    <row r="38" spans="1:14" s="28" customFormat="1" ht="14.25" x14ac:dyDescent="0.3">
      <c r="A38" s="37" t="s">
        <v>158</v>
      </c>
      <c r="B38" s="38" t="s">
        <v>73</v>
      </c>
      <c r="C38" s="39">
        <v>2255372</v>
      </c>
      <c r="D38" s="40">
        <v>43147</v>
      </c>
      <c r="E38" s="40">
        <v>43179</v>
      </c>
      <c r="F38" s="39">
        <v>2470</v>
      </c>
      <c r="G38" s="41">
        <v>418.04</v>
      </c>
      <c r="H38" s="42">
        <v>0</v>
      </c>
      <c r="I38" s="43" t="s">
        <v>194</v>
      </c>
      <c r="J38" s="44">
        <v>1032560</v>
      </c>
      <c r="K38" s="50"/>
      <c r="L38" s="27"/>
      <c r="M38" s="27"/>
      <c r="N38" s="27"/>
    </row>
    <row r="39" spans="1:14" s="28" customFormat="1" ht="14.25" x14ac:dyDescent="0.3">
      <c r="A39" s="37" t="s">
        <v>180</v>
      </c>
      <c r="B39" s="38" t="s">
        <v>116</v>
      </c>
      <c r="C39" s="39">
        <v>2103750</v>
      </c>
      <c r="D39" s="40">
        <v>43146</v>
      </c>
      <c r="E39" s="40">
        <v>43173</v>
      </c>
      <c r="F39" s="39">
        <f>7360+133</f>
        <v>7493</v>
      </c>
      <c r="G39" s="41">
        <v>418.04</v>
      </c>
      <c r="H39" s="42">
        <v>0</v>
      </c>
      <c r="I39" s="43" t="s">
        <v>194</v>
      </c>
      <c r="J39" s="44">
        <v>3076770</v>
      </c>
      <c r="K39" s="50"/>
      <c r="L39" s="27"/>
      <c r="M39" s="27"/>
      <c r="N39" s="27"/>
    </row>
    <row r="40" spans="1:14" s="28" customFormat="1" ht="14.25" x14ac:dyDescent="0.3">
      <c r="A40" s="37" t="s">
        <v>160</v>
      </c>
      <c r="B40" s="38" t="s">
        <v>77</v>
      </c>
      <c r="C40" s="39">
        <v>2008125</v>
      </c>
      <c r="D40" s="40">
        <v>43155</v>
      </c>
      <c r="E40" s="40">
        <v>43181</v>
      </c>
      <c r="F40" s="39">
        <v>8820</v>
      </c>
      <c r="G40" s="41">
        <v>418.04</v>
      </c>
      <c r="H40" s="42">
        <v>0</v>
      </c>
      <c r="I40" s="43" t="s">
        <v>194</v>
      </c>
      <c r="J40" s="44">
        <v>3687110</v>
      </c>
      <c r="K40" s="50"/>
      <c r="L40" s="27"/>
      <c r="M40" s="27"/>
      <c r="N40" s="27"/>
    </row>
    <row r="41" spans="1:14" s="28" customFormat="1" ht="14.25" x14ac:dyDescent="0.3">
      <c r="A41" s="37" t="s">
        <v>161</v>
      </c>
      <c r="B41" s="38" t="s">
        <v>79</v>
      </c>
      <c r="C41" s="39">
        <v>6932768</v>
      </c>
      <c r="D41" s="40">
        <v>43146</v>
      </c>
      <c r="E41" s="40">
        <v>43173</v>
      </c>
      <c r="F41" s="39">
        <v>5680</v>
      </c>
      <c r="G41" s="41">
        <v>384.91</v>
      </c>
      <c r="H41" s="42">
        <v>0</v>
      </c>
      <c r="I41" s="43" t="s">
        <v>194</v>
      </c>
      <c r="J41" s="44">
        <v>2186290</v>
      </c>
      <c r="K41" s="50"/>
      <c r="L41" s="27"/>
      <c r="M41" s="27"/>
      <c r="N41" s="27"/>
    </row>
    <row r="42" spans="1:14" s="28" customFormat="1" ht="14.25" x14ac:dyDescent="0.3">
      <c r="A42" s="59" t="s">
        <v>162</v>
      </c>
      <c r="B42" s="49" t="s">
        <v>81</v>
      </c>
      <c r="C42" s="60">
        <v>2110674</v>
      </c>
      <c r="D42" s="40" t="s">
        <v>195</v>
      </c>
      <c r="E42" s="40">
        <v>43167</v>
      </c>
      <c r="F42" s="39">
        <v>2043</v>
      </c>
      <c r="G42" s="41">
        <v>418.04</v>
      </c>
      <c r="H42" s="42">
        <v>0</v>
      </c>
      <c r="I42" s="43" t="s">
        <v>194</v>
      </c>
      <c r="J42" s="44">
        <v>854050</v>
      </c>
      <c r="K42" s="50"/>
      <c r="L42" s="27"/>
      <c r="M42" s="27"/>
      <c r="N42" s="27"/>
    </row>
    <row r="43" spans="1:14" s="28" customFormat="1" ht="14.25" x14ac:dyDescent="0.3">
      <c r="A43" s="59" t="s">
        <v>163</v>
      </c>
      <c r="B43" s="49" t="s">
        <v>83</v>
      </c>
      <c r="C43" s="60">
        <v>6927918</v>
      </c>
      <c r="D43" s="40">
        <v>43146</v>
      </c>
      <c r="E43" s="40">
        <v>43173</v>
      </c>
      <c r="F43" s="39">
        <v>6540</v>
      </c>
      <c r="G43" s="41">
        <v>384.91</v>
      </c>
      <c r="H43" s="42">
        <v>0</v>
      </c>
      <c r="I43" s="43" t="s">
        <v>194</v>
      </c>
      <c r="J43" s="44">
        <v>2517310</v>
      </c>
      <c r="K43" s="50"/>
      <c r="L43" s="27"/>
      <c r="M43" s="27"/>
      <c r="N43" s="27"/>
    </row>
    <row r="44" spans="1:14" s="28" customFormat="1" ht="14.25" x14ac:dyDescent="0.3">
      <c r="A44" s="37" t="s">
        <v>196</v>
      </c>
      <c r="B44" s="49" t="s">
        <v>85</v>
      </c>
      <c r="C44" s="39">
        <v>7598539</v>
      </c>
      <c r="D44" s="40">
        <v>43154</v>
      </c>
      <c r="E44" s="40">
        <v>43180</v>
      </c>
      <c r="F44" s="39">
        <v>4188</v>
      </c>
      <c r="G44" s="41">
        <v>384.91</v>
      </c>
      <c r="H44" s="42">
        <v>0</v>
      </c>
      <c r="I44" s="43" t="s">
        <v>136</v>
      </c>
      <c r="J44" s="44">
        <v>1612010</v>
      </c>
      <c r="K44" s="50"/>
      <c r="L44" s="27"/>
      <c r="M44" s="27"/>
      <c r="N44" s="27"/>
    </row>
    <row r="45" spans="1:14" s="28" customFormat="1" ht="14.25" x14ac:dyDescent="0.3">
      <c r="A45" s="37" t="s">
        <v>166</v>
      </c>
      <c r="B45" s="38" t="s">
        <v>89</v>
      </c>
      <c r="C45" s="39">
        <v>6948635</v>
      </c>
      <c r="D45" s="40">
        <v>43123</v>
      </c>
      <c r="E45" s="40">
        <v>43154</v>
      </c>
      <c r="F45" s="39">
        <f>11760+101</f>
        <v>11861</v>
      </c>
      <c r="G45" s="41">
        <v>431.29</v>
      </c>
      <c r="H45" s="42">
        <v>0</v>
      </c>
      <c r="I45" s="43" t="s">
        <v>194</v>
      </c>
      <c r="J45" s="44">
        <v>5071970</v>
      </c>
      <c r="K45" s="50"/>
      <c r="L45" s="27"/>
      <c r="M45" s="27"/>
      <c r="N45" s="27"/>
    </row>
    <row r="46" spans="1:14" s="28" customFormat="1" ht="14.25" x14ac:dyDescent="0.3">
      <c r="A46" s="37" t="s">
        <v>167</v>
      </c>
      <c r="B46" s="38" t="s">
        <v>91</v>
      </c>
      <c r="C46" s="39">
        <v>6922898</v>
      </c>
      <c r="D46" s="40">
        <v>43154</v>
      </c>
      <c r="E46" s="40">
        <v>43180</v>
      </c>
      <c r="F46" s="39">
        <v>6960</v>
      </c>
      <c r="G46" s="41">
        <v>384.91</v>
      </c>
      <c r="H46" s="42">
        <v>0</v>
      </c>
      <c r="I46" s="43" t="s">
        <v>194</v>
      </c>
      <c r="J46" s="44">
        <v>2678970</v>
      </c>
      <c r="K46" s="50"/>
      <c r="L46" s="27"/>
      <c r="M46" s="27"/>
      <c r="N46" s="27"/>
    </row>
    <row r="47" spans="1:14" s="28" customFormat="1" ht="14.25" x14ac:dyDescent="0.3">
      <c r="A47" s="37" t="s">
        <v>168</v>
      </c>
      <c r="B47" s="38" t="s">
        <v>93</v>
      </c>
      <c r="C47" s="39">
        <v>6519048</v>
      </c>
      <c r="D47" s="40">
        <v>43151</v>
      </c>
      <c r="E47" s="40">
        <v>43176</v>
      </c>
      <c r="F47" s="39">
        <v>3760</v>
      </c>
      <c r="G47" s="41">
        <v>384.91</v>
      </c>
      <c r="H47" s="42">
        <v>0</v>
      </c>
      <c r="I47" s="43" t="s">
        <v>194</v>
      </c>
      <c r="J47" s="44">
        <v>1447260</v>
      </c>
      <c r="K47" s="50"/>
      <c r="L47" s="27"/>
      <c r="M47" s="27"/>
      <c r="N47" s="27"/>
    </row>
    <row r="48" spans="1:14" s="28" customFormat="1" ht="14.25" x14ac:dyDescent="0.3">
      <c r="A48" s="37" t="s">
        <v>169</v>
      </c>
      <c r="B48" s="38" t="s">
        <v>95</v>
      </c>
      <c r="C48" s="39">
        <v>2070151</v>
      </c>
      <c r="D48" s="40">
        <v>43155</v>
      </c>
      <c r="E48" s="40">
        <v>43181</v>
      </c>
      <c r="F48" s="39">
        <f>5920+133</f>
        <v>6053</v>
      </c>
      <c r="G48" s="41">
        <v>384.91</v>
      </c>
      <c r="H48" s="42">
        <v>0</v>
      </c>
      <c r="I48" s="43" t="s">
        <v>194</v>
      </c>
      <c r="J48" s="44">
        <v>2278660</v>
      </c>
      <c r="K48" s="50"/>
      <c r="L48" s="27"/>
      <c r="M48" s="27"/>
      <c r="N48" s="27"/>
    </row>
    <row r="49" spans="1:14" s="28" customFormat="1" ht="14.25" x14ac:dyDescent="0.3">
      <c r="A49" s="37" t="s">
        <v>170</v>
      </c>
      <c r="B49" s="38" t="s">
        <v>97</v>
      </c>
      <c r="C49" s="40" t="s">
        <v>98</v>
      </c>
      <c r="D49" s="40" t="s">
        <v>171</v>
      </c>
      <c r="E49" s="40" t="s">
        <v>171</v>
      </c>
      <c r="F49" s="39">
        <v>0</v>
      </c>
      <c r="G49" s="41">
        <v>0</v>
      </c>
      <c r="H49" s="42">
        <v>0</v>
      </c>
      <c r="I49" s="43" t="s">
        <v>171</v>
      </c>
      <c r="J49" s="44">
        <v>0</v>
      </c>
      <c r="K49" s="50"/>
      <c r="L49" s="27"/>
      <c r="M49" s="27"/>
      <c r="N49" s="27"/>
    </row>
    <row r="50" spans="1:14" s="28" customFormat="1" ht="14.25" x14ac:dyDescent="0.3">
      <c r="A50" s="37" t="s">
        <v>172</v>
      </c>
      <c r="B50" s="49" t="s">
        <v>100</v>
      </c>
      <c r="C50" s="39">
        <v>6943228</v>
      </c>
      <c r="D50" s="40">
        <v>43154</v>
      </c>
      <c r="E50" s="40">
        <v>43176</v>
      </c>
      <c r="F50" s="39">
        <v>4880</v>
      </c>
      <c r="G50" s="41">
        <v>384.91</v>
      </c>
      <c r="H50" s="42">
        <v>0</v>
      </c>
      <c r="I50" s="61" t="s">
        <v>194</v>
      </c>
      <c r="J50" s="44">
        <v>1878360</v>
      </c>
      <c r="K50" s="50"/>
      <c r="L50" s="27"/>
      <c r="M50" s="27"/>
      <c r="N50" s="27"/>
    </row>
    <row r="51" spans="1:14" s="28" customFormat="1" ht="14.25" x14ac:dyDescent="0.3">
      <c r="A51" s="37" t="s">
        <v>173</v>
      </c>
      <c r="B51" s="38" t="s">
        <v>102</v>
      </c>
      <c r="C51" s="39">
        <v>2039645</v>
      </c>
      <c r="D51" s="40">
        <v>43144</v>
      </c>
      <c r="E51" s="40">
        <v>43171</v>
      </c>
      <c r="F51" s="39">
        <v>1772</v>
      </c>
      <c r="G51" s="41">
        <v>418.04</v>
      </c>
      <c r="H51" s="42">
        <v>0</v>
      </c>
      <c r="I51" s="43" t="s">
        <v>194</v>
      </c>
      <c r="J51" s="44">
        <v>740760</v>
      </c>
      <c r="K51" s="50"/>
      <c r="L51" s="27"/>
      <c r="M51" s="27"/>
      <c r="N51" s="27"/>
    </row>
    <row r="52" spans="1:14" s="28" customFormat="1" ht="14.25" x14ac:dyDescent="0.3">
      <c r="A52" s="37" t="s">
        <v>174</v>
      </c>
      <c r="B52" s="38" t="s">
        <v>104</v>
      </c>
      <c r="C52" s="39">
        <v>2001158</v>
      </c>
      <c r="D52" s="40" t="s">
        <v>197</v>
      </c>
      <c r="E52" s="40">
        <v>43176</v>
      </c>
      <c r="F52" s="39">
        <v>4880</v>
      </c>
      <c r="G52" s="41">
        <v>418.04</v>
      </c>
      <c r="H52" s="42">
        <v>0</v>
      </c>
      <c r="I52" s="43" t="s">
        <v>194</v>
      </c>
      <c r="J52" s="44">
        <v>2040040</v>
      </c>
      <c r="K52" s="50"/>
      <c r="L52" s="27"/>
      <c r="M52" s="27"/>
      <c r="N52" s="27"/>
    </row>
    <row r="53" spans="1:14" s="28" customFormat="1" ht="14.25" x14ac:dyDescent="0.3">
      <c r="A53" s="37" t="s">
        <v>175</v>
      </c>
      <c r="B53" s="38" t="s">
        <v>106</v>
      </c>
      <c r="C53" s="39">
        <v>2018606</v>
      </c>
      <c r="D53" s="40">
        <v>43148</v>
      </c>
      <c r="E53" s="40">
        <v>43174</v>
      </c>
      <c r="F53" s="39">
        <v>1482</v>
      </c>
      <c r="G53" s="41">
        <v>418.04</v>
      </c>
      <c r="H53" s="42">
        <v>0</v>
      </c>
      <c r="I53" s="43" t="s">
        <v>194</v>
      </c>
      <c r="J53" s="44">
        <v>619540</v>
      </c>
      <c r="K53" s="50"/>
      <c r="L53" s="27"/>
      <c r="M53" s="27"/>
      <c r="N53" s="27"/>
    </row>
    <row r="54" spans="1:14" s="28" customFormat="1" ht="14.25" x14ac:dyDescent="0.3">
      <c r="A54" s="37" t="s">
        <v>176</v>
      </c>
      <c r="B54" s="38" t="s">
        <v>108</v>
      </c>
      <c r="C54" s="39">
        <v>7610688</v>
      </c>
      <c r="D54" s="40">
        <v>43152</v>
      </c>
      <c r="E54" s="40">
        <v>43179</v>
      </c>
      <c r="F54" s="39">
        <v>4130</v>
      </c>
      <c r="G54" s="41">
        <v>384.91</v>
      </c>
      <c r="H54" s="42">
        <v>0</v>
      </c>
      <c r="I54" s="43" t="s">
        <v>194</v>
      </c>
      <c r="J54" s="44">
        <v>1601700</v>
      </c>
      <c r="K54" s="50"/>
      <c r="L54" s="27"/>
      <c r="M54" s="27"/>
      <c r="N54" s="27"/>
    </row>
    <row r="55" spans="1:14" s="28" customFormat="1" ht="14.25" x14ac:dyDescent="0.3">
      <c r="A55" s="37" t="s">
        <v>177</v>
      </c>
      <c r="B55" s="38" t="s">
        <v>110</v>
      </c>
      <c r="C55" s="39">
        <v>2072562</v>
      </c>
      <c r="D55" s="40">
        <v>43154</v>
      </c>
      <c r="E55" s="40">
        <v>43176</v>
      </c>
      <c r="F55" s="39">
        <f>5920+133</f>
        <v>6053</v>
      </c>
      <c r="G55" s="41">
        <v>384.91</v>
      </c>
      <c r="H55" s="42">
        <v>0</v>
      </c>
      <c r="I55" s="43" t="s">
        <v>194</v>
      </c>
      <c r="J55" s="44">
        <v>2278670</v>
      </c>
      <c r="K55" s="50"/>
      <c r="L55" s="27"/>
      <c r="M55" s="27"/>
      <c r="N55" s="27"/>
    </row>
    <row r="56" spans="1:14" s="27" customFormat="1" ht="14.25" x14ac:dyDescent="0.3">
      <c r="A56" s="37" t="s">
        <v>178</v>
      </c>
      <c r="B56" s="38" t="s">
        <v>112</v>
      </c>
      <c r="C56" s="39">
        <v>6636122</v>
      </c>
      <c r="D56" s="40">
        <v>43153</v>
      </c>
      <c r="E56" s="40">
        <v>43180</v>
      </c>
      <c r="F56" s="39">
        <v>1312</v>
      </c>
      <c r="G56" s="41">
        <v>418.04</v>
      </c>
      <c r="H56" s="42">
        <v>0</v>
      </c>
      <c r="I56" s="43" t="s">
        <v>194</v>
      </c>
      <c r="J56" s="44">
        <v>548460</v>
      </c>
      <c r="K56" s="50"/>
    </row>
    <row r="57" spans="1:14" s="27" customFormat="1" ht="14.25" x14ac:dyDescent="0.3">
      <c r="A57" s="37" t="s">
        <v>179</v>
      </c>
      <c r="B57" s="38" t="s">
        <v>114</v>
      </c>
      <c r="C57" s="39">
        <v>6923414</v>
      </c>
      <c r="D57" s="40">
        <v>43155</v>
      </c>
      <c r="E57" s="40">
        <v>43181</v>
      </c>
      <c r="F57" s="39">
        <v>5360</v>
      </c>
      <c r="G57" s="41">
        <v>384.91</v>
      </c>
      <c r="H57" s="42">
        <v>0</v>
      </c>
      <c r="I57" s="43" t="s">
        <v>194</v>
      </c>
      <c r="J57" s="44">
        <v>2063110</v>
      </c>
      <c r="K57" s="50"/>
    </row>
    <row r="58" spans="1:14" s="27" customFormat="1" ht="14.25" x14ac:dyDescent="0.3">
      <c r="A58" s="319" t="s">
        <v>198</v>
      </c>
      <c r="B58" s="319" t="s">
        <v>4</v>
      </c>
      <c r="C58" s="319" t="s">
        <v>5</v>
      </c>
      <c r="D58" s="319" t="s">
        <v>6</v>
      </c>
      <c r="E58" s="319"/>
      <c r="F58" s="36" t="s">
        <v>7</v>
      </c>
      <c r="G58" s="36" t="s">
        <v>132</v>
      </c>
      <c r="H58" s="319" t="s">
        <v>133</v>
      </c>
      <c r="I58" s="319" t="s">
        <v>134</v>
      </c>
      <c r="J58" s="320" t="s">
        <v>11</v>
      </c>
      <c r="K58" s="50"/>
    </row>
    <row r="59" spans="1:14" s="27" customFormat="1" ht="14.25" x14ac:dyDescent="0.3">
      <c r="A59" s="319"/>
      <c r="B59" s="319"/>
      <c r="C59" s="319"/>
      <c r="D59" s="36" t="s">
        <v>15</v>
      </c>
      <c r="E59" s="36" t="s">
        <v>16</v>
      </c>
      <c r="F59" s="36" t="s">
        <v>17</v>
      </c>
      <c r="G59" s="36" t="s">
        <v>17</v>
      </c>
      <c r="H59" s="319"/>
      <c r="I59" s="319"/>
      <c r="J59" s="320"/>
      <c r="K59" s="50"/>
    </row>
    <row r="60" spans="1:14" s="27" customFormat="1" ht="14.25" x14ac:dyDescent="0.3">
      <c r="A60" s="37" t="s">
        <v>159</v>
      </c>
      <c r="B60" s="38" t="s">
        <v>75</v>
      </c>
      <c r="C60" s="39">
        <v>2018851</v>
      </c>
      <c r="D60" s="40" t="s">
        <v>171</v>
      </c>
      <c r="E60" s="40" t="s">
        <v>171</v>
      </c>
      <c r="F60" s="39">
        <v>0</v>
      </c>
      <c r="G60" s="41">
        <v>0</v>
      </c>
      <c r="H60" s="42">
        <v>0</v>
      </c>
      <c r="I60" s="43" t="s">
        <v>171</v>
      </c>
      <c r="J60" s="44">
        <v>0</v>
      </c>
      <c r="K60" s="50"/>
    </row>
    <row r="61" spans="1:14" s="27" customFormat="1" ht="14.25" x14ac:dyDescent="0.3">
      <c r="A61" s="37" t="s">
        <v>149</v>
      </c>
      <c r="B61" s="38" t="s">
        <v>55</v>
      </c>
      <c r="C61" s="39">
        <v>6554457</v>
      </c>
      <c r="D61" s="40">
        <v>43149</v>
      </c>
      <c r="E61" s="40">
        <v>43176</v>
      </c>
      <c r="F61" s="39">
        <f>33+133</f>
        <v>166</v>
      </c>
      <c r="G61" s="41">
        <v>418.04</v>
      </c>
      <c r="H61" s="42">
        <v>0</v>
      </c>
      <c r="I61" s="43" t="s">
        <v>194</v>
      </c>
      <c r="J61" s="44">
        <v>9620</v>
      </c>
      <c r="K61" s="50"/>
    </row>
    <row r="62" spans="1:14" s="27" customFormat="1" ht="14.25" x14ac:dyDescent="0.3">
      <c r="A62" s="37" t="s">
        <v>150</v>
      </c>
      <c r="B62" s="38" t="s">
        <v>57</v>
      </c>
      <c r="C62" s="39">
        <v>6566213</v>
      </c>
      <c r="D62" s="40">
        <v>43149</v>
      </c>
      <c r="E62" s="40">
        <v>43176</v>
      </c>
      <c r="F62" s="39">
        <v>0</v>
      </c>
      <c r="G62" s="41">
        <v>0</v>
      </c>
      <c r="H62" s="42">
        <v>0</v>
      </c>
      <c r="I62" s="43" t="s">
        <v>194</v>
      </c>
      <c r="J62" s="44">
        <v>0</v>
      </c>
      <c r="K62" s="50"/>
    </row>
    <row r="63" spans="1:14" s="27" customFormat="1" ht="14.25" x14ac:dyDescent="0.3">
      <c r="A63" s="37" t="s">
        <v>165</v>
      </c>
      <c r="B63" s="49" t="s">
        <v>87</v>
      </c>
      <c r="C63" s="39">
        <v>2365600</v>
      </c>
      <c r="D63" s="40">
        <v>43150</v>
      </c>
      <c r="E63" s="40">
        <v>43176</v>
      </c>
      <c r="F63" s="39">
        <v>0</v>
      </c>
      <c r="G63" s="41">
        <v>0</v>
      </c>
      <c r="H63" s="42">
        <v>0</v>
      </c>
      <c r="I63" s="43" t="s">
        <v>136</v>
      </c>
      <c r="J63" s="44">
        <v>0</v>
      </c>
      <c r="K63" s="50"/>
    </row>
    <row r="64" spans="1:14" s="27" customFormat="1" ht="14.25" x14ac:dyDescent="0.3">
      <c r="A64" s="62"/>
      <c r="B64" s="98"/>
      <c r="C64" s="64"/>
      <c r="D64" s="65"/>
      <c r="E64" s="65"/>
      <c r="F64" s="99">
        <f>SUM(F9:F57)</f>
        <v>677971</v>
      </c>
      <c r="G64" s="100"/>
      <c r="H64" s="78"/>
      <c r="I64" s="101"/>
      <c r="J64" s="102"/>
      <c r="K64" s="50"/>
    </row>
    <row r="65" spans="1:12" s="27" customFormat="1" ht="15" customHeight="1" x14ac:dyDescent="0.3">
      <c r="A65" s="62"/>
      <c r="B65" s="63"/>
      <c r="C65" s="64"/>
      <c r="D65" s="65"/>
      <c r="E65" s="65"/>
      <c r="F65" s="103"/>
      <c r="G65" s="103"/>
      <c r="H65" s="104"/>
      <c r="I65" s="68"/>
      <c r="J65" s="105"/>
      <c r="K65" s="26"/>
    </row>
    <row r="66" spans="1:12" s="27" customFormat="1" ht="15" customHeight="1" x14ac:dyDescent="0.3">
      <c r="A66" s="327" t="s">
        <v>199</v>
      </c>
      <c r="B66" s="327"/>
      <c r="C66" s="327"/>
      <c r="D66" s="327"/>
      <c r="E66" s="65"/>
      <c r="F66" s="103"/>
      <c r="H66" s="329" t="s">
        <v>200</v>
      </c>
      <c r="I66" s="329"/>
      <c r="J66" s="106">
        <f>SUM(J9:J57)</f>
        <v>250720490</v>
      </c>
      <c r="K66" s="26"/>
    </row>
    <row r="67" spans="1:12" s="27" customFormat="1" ht="15" customHeight="1" x14ac:dyDescent="0.3">
      <c r="A67" s="327"/>
      <c r="B67" s="327"/>
      <c r="C67" s="327"/>
      <c r="D67" s="327"/>
      <c r="E67" s="65"/>
      <c r="F67" s="103"/>
      <c r="H67" s="329" t="s">
        <v>201</v>
      </c>
      <c r="I67" s="329"/>
      <c r="J67" s="106">
        <f>SUM(J60:J63)</f>
        <v>9620</v>
      </c>
      <c r="K67" s="26"/>
    </row>
    <row r="68" spans="1:12" s="27" customFormat="1" ht="15" customHeight="1" x14ac:dyDescent="0.3">
      <c r="A68" s="327"/>
      <c r="B68" s="327"/>
      <c r="C68" s="327"/>
      <c r="D68" s="327"/>
      <c r="E68" s="65"/>
      <c r="F68" s="103"/>
      <c r="H68" s="330" t="s">
        <v>202</v>
      </c>
      <c r="I68" s="330"/>
      <c r="J68" s="106">
        <f>SUM(J66:J67)</f>
        <v>250730110</v>
      </c>
      <c r="K68" s="26"/>
    </row>
    <row r="69" spans="1:12" s="27" customFormat="1" ht="15" customHeight="1" x14ac:dyDescent="0.3">
      <c r="A69" s="328"/>
      <c r="B69" s="328"/>
      <c r="C69" s="328"/>
      <c r="D69" s="328"/>
      <c r="E69" s="65"/>
      <c r="F69" s="103"/>
      <c r="H69" s="331" t="s">
        <v>203</v>
      </c>
      <c r="I69" s="331"/>
      <c r="J69" s="107">
        <f>+J66</f>
        <v>250720490</v>
      </c>
      <c r="K69" s="26"/>
    </row>
    <row r="70" spans="1:12" s="27" customFormat="1" ht="15" customHeight="1" x14ac:dyDescent="0.3">
      <c r="B70" s="70"/>
      <c r="C70" s="70"/>
      <c r="D70" s="70"/>
      <c r="E70" s="71"/>
      <c r="F70" s="72"/>
      <c r="G70" s="72"/>
      <c r="H70" s="73"/>
      <c r="I70" s="73"/>
      <c r="K70" s="26"/>
    </row>
    <row r="71" spans="1:12" s="27" customFormat="1" ht="15" customHeight="1" x14ac:dyDescent="0.3">
      <c r="B71" s="70"/>
      <c r="D71" s="72"/>
      <c r="E71" s="72"/>
      <c r="F71" s="77"/>
      <c r="G71" s="77"/>
      <c r="H71" s="77"/>
      <c r="I71" s="77"/>
      <c r="J71" s="78"/>
      <c r="K71" s="79"/>
      <c r="L71" s="80"/>
    </row>
    <row r="72" spans="1:12" s="27" customFormat="1" ht="14.25" x14ac:dyDescent="0.3">
      <c r="A72" s="27" t="s">
        <v>185</v>
      </c>
      <c r="B72" s="70"/>
      <c r="D72" s="72"/>
      <c r="E72" s="72"/>
      <c r="F72" s="81"/>
      <c r="G72" s="81"/>
      <c r="H72" s="81"/>
      <c r="I72" s="81"/>
      <c r="J72" s="82"/>
      <c r="K72" s="79"/>
      <c r="L72" s="80"/>
    </row>
    <row r="73" spans="1:12" s="27" customFormat="1" ht="14.25" x14ac:dyDescent="0.3">
      <c r="A73" s="83" t="s">
        <v>186</v>
      </c>
      <c r="B73" s="84"/>
      <c r="C73" s="84"/>
      <c r="D73" s="84"/>
      <c r="E73" s="85"/>
      <c r="F73" s="85"/>
      <c r="G73" s="85"/>
      <c r="H73" s="85"/>
      <c r="I73" s="85"/>
      <c r="J73" s="85"/>
      <c r="K73" s="79"/>
      <c r="L73" s="80"/>
    </row>
    <row r="74" spans="1:12" s="27" customFormat="1" ht="14.25" x14ac:dyDescent="0.3">
      <c r="A74" s="86" t="s">
        <v>187</v>
      </c>
      <c r="B74" s="84"/>
      <c r="C74" s="84"/>
      <c r="D74" s="84"/>
      <c r="E74" s="85"/>
      <c r="F74" s="85"/>
      <c r="G74" s="85"/>
      <c r="H74" s="85"/>
      <c r="I74" s="85"/>
      <c r="J74" s="85"/>
      <c r="K74" s="79"/>
      <c r="L74" s="80"/>
    </row>
    <row r="75" spans="1:12" s="27" customFormat="1" ht="14.25" x14ac:dyDescent="0.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26"/>
    </row>
  </sheetData>
  <mergeCells count="28">
    <mergeCell ref="A66:D69"/>
    <mergeCell ref="H66:I66"/>
    <mergeCell ref="H67:I67"/>
    <mergeCell ref="H68:I68"/>
    <mergeCell ref="H69:I69"/>
    <mergeCell ref="J7:J8"/>
    <mergeCell ref="K7:K8"/>
    <mergeCell ref="A58:A59"/>
    <mergeCell ref="B58:B59"/>
    <mergeCell ref="C58:C59"/>
    <mergeCell ref="D58:E58"/>
    <mergeCell ref="H58:H59"/>
    <mergeCell ref="I58:I59"/>
    <mergeCell ref="J58:J59"/>
    <mergeCell ref="A7:A8"/>
    <mergeCell ref="B7:B8"/>
    <mergeCell ref="C7:C8"/>
    <mergeCell ref="D7:E7"/>
    <mergeCell ref="H7:H8"/>
    <mergeCell ref="I7:I8"/>
    <mergeCell ref="A1:J2"/>
    <mergeCell ref="D3:E3"/>
    <mergeCell ref="G3:J3"/>
    <mergeCell ref="D4:E4"/>
    <mergeCell ref="F4:F5"/>
    <mergeCell ref="H4:J4"/>
    <mergeCell ref="D5:E5"/>
    <mergeCell ref="H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77"/>
  <sheetViews>
    <sheetView tabSelected="1" workbookViewId="0">
      <selection activeCell="H19" sqref="H19"/>
    </sheetView>
  </sheetViews>
  <sheetFormatPr baseColWidth="10" defaultRowHeight="15" x14ac:dyDescent="0.25"/>
  <cols>
    <col min="1" max="1" width="32" customWidth="1"/>
    <col min="2" max="2" width="28.42578125" customWidth="1"/>
    <col min="3" max="6" width="15.140625" customWidth="1"/>
    <col min="7" max="7" width="17.42578125" customWidth="1"/>
    <col min="8" max="8" width="15.140625" customWidth="1"/>
    <col min="9" max="9" width="21.42578125" customWidth="1"/>
    <col min="10" max="10" width="15.140625" customWidth="1"/>
  </cols>
  <sheetData>
    <row r="1" spans="1:13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26"/>
      <c r="K1" s="27"/>
      <c r="L1" s="27"/>
      <c r="M1" s="27"/>
    </row>
    <row r="2" spans="1:13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26"/>
      <c r="L2" s="29"/>
    </row>
    <row r="3" spans="1:13" s="27" customFormat="1" ht="14.25" x14ac:dyDescent="0.3">
      <c r="C3" s="332" t="s">
        <v>204</v>
      </c>
      <c r="D3" s="332"/>
      <c r="E3" s="87" t="s">
        <v>121</v>
      </c>
      <c r="F3" s="333" t="s">
        <v>205</v>
      </c>
      <c r="G3" s="334"/>
      <c r="H3" s="334"/>
      <c r="I3" s="335"/>
      <c r="J3" s="26"/>
      <c r="M3" s="31"/>
    </row>
    <row r="4" spans="1:13" s="27" customFormat="1" ht="14.25" x14ac:dyDescent="0.3">
      <c r="C4" s="336" t="s">
        <v>206</v>
      </c>
      <c r="D4" s="336"/>
      <c r="E4" s="326" t="s">
        <v>125</v>
      </c>
      <c r="F4" s="87" t="s">
        <v>190</v>
      </c>
      <c r="G4" s="332" t="s">
        <v>207</v>
      </c>
      <c r="H4" s="332"/>
      <c r="I4" s="332"/>
      <c r="J4" s="26"/>
    </row>
    <row r="5" spans="1:13" s="27" customFormat="1" ht="14.25" x14ac:dyDescent="0.3">
      <c r="C5" s="337" t="s">
        <v>208</v>
      </c>
      <c r="D5" s="338"/>
      <c r="E5" s="326"/>
      <c r="F5" s="108" t="s">
        <v>192</v>
      </c>
      <c r="G5" s="339" t="s">
        <v>209</v>
      </c>
      <c r="H5" s="339"/>
      <c r="I5" s="339"/>
      <c r="J5" s="26"/>
    </row>
    <row r="6" spans="1:13" s="27" customFormat="1" ht="14.25" x14ac:dyDescent="0.3">
      <c r="B6" s="34"/>
      <c r="C6" s="34"/>
      <c r="D6" s="35"/>
      <c r="G6" s="71"/>
      <c r="H6" s="34"/>
      <c r="I6" s="26"/>
      <c r="J6" s="26"/>
    </row>
    <row r="7" spans="1:13" s="28" customFormat="1" ht="15" customHeight="1" x14ac:dyDescent="0.3">
      <c r="A7" s="319" t="s">
        <v>3</v>
      </c>
      <c r="B7" s="319" t="s">
        <v>4</v>
      </c>
      <c r="C7" s="319" t="s">
        <v>6</v>
      </c>
      <c r="D7" s="319"/>
      <c r="E7" s="36" t="s">
        <v>7</v>
      </c>
      <c r="F7" s="36" t="s">
        <v>132</v>
      </c>
      <c r="G7" s="319" t="s">
        <v>133</v>
      </c>
      <c r="H7" s="319" t="s">
        <v>134</v>
      </c>
      <c r="I7" s="320" t="s">
        <v>11</v>
      </c>
      <c r="J7" s="318"/>
      <c r="K7" s="27"/>
      <c r="L7" s="27"/>
      <c r="M7" s="27"/>
    </row>
    <row r="8" spans="1:13" s="28" customFormat="1" ht="14.25" x14ac:dyDescent="0.3">
      <c r="A8" s="319"/>
      <c r="B8" s="319"/>
      <c r="C8" s="36" t="s">
        <v>15</v>
      </c>
      <c r="D8" s="36" t="s">
        <v>16</v>
      </c>
      <c r="E8" s="36" t="s">
        <v>17</v>
      </c>
      <c r="F8" s="36" t="s">
        <v>17</v>
      </c>
      <c r="G8" s="319"/>
      <c r="H8" s="319"/>
      <c r="I8" s="320"/>
      <c r="J8" s="318"/>
      <c r="K8" s="27"/>
      <c r="L8" s="27"/>
      <c r="M8" s="27"/>
    </row>
    <row r="9" spans="1:13" s="28" customFormat="1" ht="14.25" x14ac:dyDescent="0.3">
      <c r="A9" s="37" t="s">
        <v>18</v>
      </c>
      <c r="B9" s="38" t="s">
        <v>19</v>
      </c>
      <c r="C9" s="40">
        <v>43171</v>
      </c>
      <c r="D9" s="40">
        <v>43203</v>
      </c>
      <c r="E9" s="39">
        <v>72480</v>
      </c>
      <c r="F9" s="41">
        <v>383.71</v>
      </c>
      <c r="G9" s="109">
        <v>0</v>
      </c>
      <c r="H9" s="43" t="s">
        <v>135</v>
      </c>
      <c r="I9" s="44">
        <v>27875090</v>
      </c>
      <c r="J9" s="45"/>
      <c r="K9" s="27"/>
      <c r="L9" s="27"/>
      <c r="M9" s="27"/>
    </row>
    <row r="10" spans="1:13" s="28" customFormat="1" ht="14.25" x14ac:dyDescent="0.3">
      <c r="A10" s="37" t="s">
        <v>20</v>
      </c>
      <c r="B10" s="38" t="s">
        <v>19</v>
      </c>
      <c r="C10" s="40">
        <v>43178</v>
      </c>
      <c r="D10" s="40">
        <v>43212</v>
      </c>
      <c r="E10" s="39">
        <v>2747</v>
      </c>
      <c r="F10" s="41">
        <v>454.88</v>
      </c>
      <c r="G10" s="109">
        <v>0</v>
      </c>
      <c r="H10" s="43" t="s">
        <v>136</v>
      </c>
      <c r="I10" s="44">
        <v>1249560</v>
      </c>
      <c r="J10" s="45"/>
      <c r="K10" s="27"/>
      <c r="L10" s="27"/>
      <c r="M10" s="27"/>
    </row>
    <row r="11" spans="1:13" s="28" customFormat="1" ht="14.25" x14ac:dyDescent="0.3">
      <c r="A11" s="37" t="s">
        <v>21</v>
      </c>
      <c r="B11" s="38" t="s">
        <v>19</v>
      </c>
      <c r="C11" s="40">
        <v>43171</v>
      </c>
      <c r="D11" s="40">
        <v>43203</v>
      </c>
      <c r="E11" s="39">
        <v>0</v>
      </c>
      <c r="F11" s="41">
        <v>0</v>
      </c>
      <c r="G11" s="110">
        <v>0</v>
      </c>
      <c r="H11" s="43" t="s">
        <v>135</v>
      </c>
      <c r="I11" s="44">
        <v>0</v>
      </c>
      <c r="J11" s="45"/>
      <c r="K11" s="27"/>
      <c r="L11" s="27"/>
      <c r="M11" s="27"/>
    </row>
    <row r="12" spans="1:13" s="28" customFormat="1" ht="14.25" x14ac:dyDescent="0.3">
      <c r="A12" s="37" t="s">
        <v>22</v>
      </c>
      <c r="B12" s="38" t="s">
        <v>19</v>
      </c>
      <c r="C12" s="40">
        <v>43171</v>
      </c>
      <c r="D12" s="40">
        <v>43203</v>
      </c>
      <c r="E12" s="39">
        <f>11520+2880</f>
        <v>14400</v>
      </c>
      <c r="F12" s="41">
        <v>388.14</v>
      </c>
      <c r="G12" s="109">
        <v>0</v>
      </c>
      <c r="H12" s="43" t="s">
        <v>135</v>
      </c>
      <c r="I12" s="44">
        <v>5538180</v>
      </c>
      <c r="J12" s="47"/>
      <c r="K12" s="27"/>
      <c r="L12" s="27"/>
      <c r="M12" s="27"/>
    </row>
    <row r="13" spans="1:13" s="28" customFormat="1" ht="14.25" x14ac:dyDescent="0.3">
      <c r="A13" s="37" t="s">
        <v>23</v>
      </c>
      <c r="B13" s="38" t="s">
        <v>24</v>
      </c>
      <c r="C13" s="40">
        <v>43176</v>
      </c>
      <c r="D13" s="40">
        <v>43209</v>
      </c>
      <c r="E13" s="39">
        <v>9760</v>
      </c>
      <c r="F13" s="41">
        <v>421.68</v>
      </c>
      <c r="G13" s="109">
        <v>0</v>
      </c>
      <c r="H13" s="43" t="s">
        <v>135</v>
      </c>
      <c r="I13" s="44">
        <v>4115590</v>
      </c>
      <c r="J13" s="45"/>
      <c r="K13" s="27"/>
      <c r="L13" s="27"/>
      <c r="M13" s="27"/>
    </row>
    <row r="14" spans="1:13" s="28" customFormat="1" ht="14.25" x14ac:dyDescent="0.3">
      <c r="A14" s="37" t="s">
        <v>25</v>
      </c>
      <c r="B14" s="38" t="s">
        <v>24</v>
      </c>
      <c r="C14" s="40">
        <v>43176</v>
      </c>
      <c r="D14" s="40">
        <v>43209</v>
      </c>
      <c r="E14" s="39">
        <v>12840</v>
      </c>
      <c r="F14" s="41">
        <v>421.68</v>
      </c>
      <c r="G14" s="109">
        <v>0</v>
      </c>
      <c r="H14" s="43" t="s">
        <v>135</v>
      </c>
      <c r="I14" s="44">
        <v>5414370</v>
      </c>
      <c r="J14" s="45"/>
      <c r="K14" s="27"/>
      <c r="L14" s="27"/>
      <c r="M14" s="27"/>
    </row>
    <row r="15" spans="1:13" s="28" customFormat="1" ht="14.25" x14ac:dyDescent="0.3">
      <c r="A15" s="37" t="s">
        <v>26</v>
      </c>
      <c r="B15" s="38" t="s">
        <v>24</v>
      </c>
      <c r="C15" s="40">
        <v>43179</v>
      </c>
      <c r="D15" s="40">
        <v>43212</v>
      </c>
      <c r="E15" s="39">
        <v>5696</v>
      </c>
      <c r="F15" s="41">
        <v>454.88</v>
      </c>
      <c r="G15" s="109">
        <v>0</v>
      </c>
      <c r="H15" s="43" t="s">
        <v>135</v>
      </c>
      <c r="I15" s="44">
        <v>2591000</v>
      </c>
      <c r="J15" s="45"/>
      <c r="K15" s="27"/>
      <c r="L15" s="27"/>
      <c r="M15" s="27"/>
    </row>
    <row r="16" spans="1:13" s="28" customFormat="1" ht="14.25" x14ac:dyDescent="0.3">
      <c r="A16" s="37" t="s">
        <v>27</v>
      </c>
      <c r="B16" s="38" t="s">
        <v>24</v>
      </c>
      <c r="C16" s="40">
        <v>43179</v>
      </c>
      <c r="D16" s="40">
        <v>43212</v>
      </c>
      <c r="E16" s="39">
        <v>2845</v>
      </c>
      <c r="F16" s="41">
        <v>454.88</v>
      </c>
      <c r="G16" s="109">
        <v>0</v>
      </c>
      <c r="H16" s="43" t="s">
        <v>136</v>
      </c>
      <c r="I16" s="44">
        <v>1294130</v>
      </c>
      <c r="J16" s="45"/>
      <c r="K16" s="27"/>
      <c r="L16" s="27"/>
      <c r="M16" s="27"/>
    </row>
    <row r="17" spans="1:13" s="28" customFormat="1" ht="14.25" x14ac:dyDescent="0.3">
      <c r="A17" s="37" t="s">
        <v>28</v>
      </c>
      <c r="B17" s="38" t="s">
        <v>24</v>
      </c>
      <c r="C17" s="40" t="s">
        <v>210</v>
      </c>
      <c r="D17" s="40">
        <v>43212</v>
      </c>
      <c r="E17" s="39">
        <v>3262</v>
      </c>
      <c r="F17" s="41">
        <v>421.68</v>
      </c>
      <c r="G17" s="109">
        <v>0</v>
      </c>
      <c r="H17" s="43" t="s">
        <v>135</v>
      </c>
      <c r="I17" s="44">
        <v>1375520</v>
      </c>
      <c r="J17" s="45"/>
      <c r="K17" s="27"/>
      <c r="L17" s="27"/>
      <c r="M17" s="27"/>
    </row>
    <row r="18" spans="1:13" s="28" customFormat="1" ht="14.25" x14ac:dyDescent="0.3">
      <c r="A18" s="37" t="s">
        <v>29</v>
      </c>
      <c r="B18" s="38" t="s">
        <v>24</v>
      </c>
      <c r="C18" s="40">
        <v>43176</v>
      </c>
      <c r="D18" s="40">
        <v>43209</v>
      </c>
      <c r="E18" s="39">
        <v>12480</v>
      </c>
      <c r="F18" s="41">
        <v>421.68</v>
      </c>
      <c r="G18" s="109">
        <v>0</v>
      </c>
      <c r="H18" s="48" t="s">
        <v>135</v>
      </c>
      <c r="I18" s="44">
        <v>5262570</v>
      </c>
      <c r="J18" s="47"/>
      <c r="K18" s="27"/>
      <c r="L18" s="27"/>
      <c r="M18" s="27"/>
    </row>
    <row r="19" spans="1:13" s="28" customFormat="1" ht="14.25" x14ac:dyDescent="0.3">
      <c r="A19" s="37" t="s">
        <v>137</v>
      </c>
      <c r="B19" s="49" t="s">
        <v>31</v>
      </c>
      <c r="C19" s="40">
        <v>43180</v>
      </c>
      <c r="D19" s="40">
        <v>43213</v>
      </c>
      <c r="E19" s="39">
        <v>29480</v>
      </c>
      <c r="F19" s="41">
        <v>382.92</v>
      </c>
      <c r="G19" s="109">
        <v>0</v>
      </c>
      <c r="H19" s="43" t="s">
        <v>135</v>
      </c>
      <c r="I19" s="44">
        <v>11321260</v>
      </c>
      <c r="J19" s="50"/>
      <c r="K19" s="27"/>
      <c r="L19" s="27"/>
      <c r="M19" s="27"/>
    </row>
    <row r="20" spans="1:13" s="28" customFormat="1" ht="14.25" x14ac:dyDescent="0.3">
      <c r="A20" s="37" t="s">
        <v>138</v>
      </c>
      <c r="B20" s="38" t="s">
        <v>33</v>
      </c>
      <c r="C20" s="40">
        <v>43152</v>
      </c>
      <c r="D20" s="40">
        <v>43176</v>
      </c>
      <c r="E20" s="39">
        <v>36960</v>
      </c>
      <c r="F20" s="41">
        <v>349.57</v>
      </c>
      <c r="G20" s="109">
        <v>0</v>
      </c>
      <c r="H20" s="43" t="s">
        <v>135</v>
      </c>
      <c r="I20" s="44">
        <v>16224610</v>
      </c>
      <c r="J20" s="50"/>
      <c r="K20" s="27"/>
      <c r="L20" s="27"/>
      <c r="M20" s="27"/>
    </row>
    <row r="21" spans="1:13" s="28" customFormat="1" ht="14.25" x14ac:dyDescent="0.3">
      <c r="A21" s="37" t="s">
        <v>139</v>
      </c>
      <c r="B21" s="38" t="s">
        <v>35</v>
      </c>
      <c r="C21" s="40">
        <v>43176</v>
      </c>
      <c r="D21" s="40">
        <v>43209</v>
      </c>
      <c r="E21" s="39">
        <v>36960</v>
      </c>
      <c r="F21" s="41">
        <v>383.71</v>
      </c>
      <c r="G21" s="109">
        <v>0</v>
      </c>
      <c r="H21" s="43" t="s">
        <v>135</v>
      </c>
      <c r="I21" s="44">
        <v>14213110</v>
      </c>
      <c r="J21" s="50"/>
      <c r="K21" s="27"/>
      <c r="L21" s="27"/>
      <c r="M21" s="27"/>
    </row>
    <row r="22" spans="1:13" s="28" customFormat="1" ht="14.25" x14ac:dyDescent="0.3">
      <c r="A22" s="37" t="s">
        <v>140</v>
      </c>
      <c r="B22" s="38" t="s">
        <v>37</v>
      </c>
      <c r="C22" s="40">
        <v>43173</v>
      </c>
      <c r="D22" s="40">
        <v>43209</v>
      </c>
      <c r="E22" s="39">
        <v>50490</v>
      </c>
      <c r="F22" s="41">
        <v>382.92</v>
      </c>
      <c r="G22" s="109">
        <v>0</v>
      </c>
      <c r="H22" s="43" t="s">
        <v>135</v>
      </c>
      <c r="I22" s="44">
        <v>19389810</v>
      </c>
      <c r="J22" s="50"/>
      <c r="K22" s="27"/>
      <c r="L22" s="27"/>
      <c r="M22" s="27"/>
    </row>
    <row r="23" spans="1:13" s="28" customFormat="1" ht="14.25" x14ac:dyDescent="0.3">
      <c r="A23" s="37" t="s">
        <v>141</v>
      </c>
      <c r="B23" s="38" t="s">
        <v>39</v>
      </c>
      <c r="C23" s="40">
        <v>43155</v>
      </c>
      <c r="D23" s="40">
        <v>43181</v>
      </c>
      <c r="E23" s="39">
        <v>58080</v>
      </c>
      <c r="F23" s="41">
        <v>348.63</v>
      </c>
      <c r="G23" s="109">
        <v>0</v>
      </c>
      <c r="H23" s="43" t="s">
        <v>135</v>
      </c>
      <c r="I23" s="44">
        <v>24957670</v>
      </c>
      <c r="J23" s="50"/>
      <c r="K23" s="27"/>
      <c r="L23" s="27"/>
      <c r="M23" s="27"/>
    </row>
    <row r="24" spans="1:13" s="28" customFormat="1" ht="14.25" x14ac:dyDescent="0.3">
      <c r="A24" s="37" t="s">
        <v>142</v>
      </c>
      <c r="B24" s="38" t="s">
        <v>41</v>
      </c>
      <c r="C24" s="40">
        <v>43176</v>
      </c>
      <c r="D24" s="40">
        <v>43209</v>
      </c>
      <c r="E24" s="39">
        <v>182600</v>
      </c>
      <c r="F24" s="41">
        <v>383.71</v>
      </c>
      <c r="G24" s="109">
        <v>0</v>
      </c>
      <c r="H24" s="43" t="s">
        <v>135</v>
      </c>
      <c r="I24" s="44">
        <v>70321130</v>
      </c>
      <c r="J24" s="50"/>
      <c r="K24" s="27"/>
      <c r="L24" s="27"/>
      <c r="M24" s="27"/>
    </row>
    <row r="25" spans="1:13" s="28" customFormat="1" ht="14.25" x14ac:dyDescent="0.3">
      <c r="A25" s="37" t="s">
        <v>143</v>
      </c>
      <c r="B25" s="38" t="s">
        <v>43</v>
      </c>
      <c r="C25" s="40">
        <v>43181</v>
      </c>
      <c r="D25" s="40">
        <v>43214</v>
      </c>
      <c r="E25" s="39">
        <v>22000</v>
      </c>
      <c r="F25" s="41">
        <v>383.71</v>
      </c>
      <c r="G25" s="109">
        <v>0</v>
      </c>
      <c r="H25" s="43" t="s">
        <v>135</v>
      </c>
      <c r="I25" s="44">
        <v>8590170</v>
      </c>
      <c r="J25" s="50"/>
      <c r="K25" s="27"/>
      <c r="L25" s="27"/>
      <c r="M25" s="27"/>
    </row>
    <row r="26" spans="1:13" s="28" customFormat="1" ht="14.25" x14ac:dyDescent="0.3">
      <c r="A26" s="37" t="s">
        <v>144</v>
      </c>
      <c r="B26" s="38" t="s">
        <v>45</v>
      </c>
      <c r="C26" s="40">
        <v>43173</v>
      </c>
      <c r="D26" s="40">
        <v>43207</v>
      </c>
      <c r="E26" s="41">
        <f>21560+4840+13200</f>
        <v>39600</v>
      </c>
      <c r="F26" s="41">
        <v>383.71</v>
      </c>
      <c r="G26" s="109">
        <v>0</v>
      </c>
      <c r="H26" s="43" t="s">
        <v>135</v>
      </c>
      <c r="I26" s="44">
        <v>12211550</v>
      </c>
      <c r="J26" s="47"/>
      <c r="K26" s="27"/>
      <c r="L26" s="27"/>
      <c r="M26" s="27"/>
    </row>
    <row r="27" spans="1:13" s="28" customFormat="1" ht="14.25" x14ac:dyDescent="0.3">
      <c r="A27" s="37" t="s">
        <v>145</v>
      </c>
      <c r="B27" s="38" t="s">
        <v>47</v>
      </c>
      <c r="C27" s="40">
        <v>43178</v>
      </c>
      <c r="D27" s="40">
        <v>43211</v>
      </c>
      <c r="E27" s="39">
        <v>0</v>
      </c>
      <c r="F27" s="41">
        <v>0</v>
      </c>
      <c r="G27" s="109">
        <v>0</v>
      </c>
      <c r="H27" s="43" t="s">
        <v>136</v>
      </c>
      <c r="I27" s="44">
        <v>37000</v>
      </c>
      <c r="J27" s="47"/>
      <c r="K27" s="27"/>
      <c r="L27" s="27"/>
      <c r="M27" s="27"/>
    </row>
    <row r="28" spans="1:13" s="28" customFormat="1" ht="14.25" x14ac:dyDescent="0.3">
      <c r="A28" s="37" t="s">
        <v>146</v>
      </c>
      <c r="B28" s="38" t="s">
        <v>49</v>
      </c>
      <c r="C28" s="40">
        <v>43174</v>
      </c>
      <c r="D28" s="40">
        <v>43207</v>
      </c>
      <c r="E28" s="39">
        <v>1535</v>
      </c>
      <c r="F28" s="41">
        <v>454.88</v>
      </c>
      <c r="G28" s="109">
        <v>0</v>
      </c>
      <c r="H28" s="43" t="s">
        <v>135</v>
      </c>
      <c r="I28" s="44">
        <v>698240</v>
      </c>
      <c r="J28" s="50"/>
      <c r="K28" s="27"/>
      <c r="L28" s="27"/>
      <c r="M28" s="27"/>
    </row>
    <row r="29" spans="1:13" s="28" customFormat="1" ht="14.25" x14ac:dyDescent="0.3">
      <c r="A29" s="37" t="s">
        <v>147</v>
      </c>
      <c r="B29" s="38" t="s">
        <v>51</v>
      </c>
      <c r="C29" s="40">
        <v>43172</v>
      </c>
      <c r="D29" s="40">
        <v>43204</v>
      </c>
      <c r="E29" s="39">
        <v>348</v>
      </c>
      <c r="F29" s="41">
        <v>454.88</v>
      </c>
      <c r="G29" s="109">
        <v>0</v>
      </c>
      <c r="H29" s="43" t="s">
        <v>135</v>
      </c>
      <c r="I29" s="44">
        <v>158300</v>
      </c>
      <c r="J29" s="50"/>
      <c r="K29" s="27"/>
      <c r="L29" s="27"/>
      <c r="M29" s="27"/>
    </row>
    <row r="30" spans="1:13" s="28" customFormat="1" ht="14.25" x14ac:dyDescent="0.3">
      <c r="A30" s="37" t="s">
        <v>148</v>
      </c>
      <c r="B30" s="38" t="s">
        <v>53</v>
      </c>
      <c r="C30" s="40">
        <v>43174</v>
      </c>
      <c r="D30" s="40">
        <v>43207</v>
      </c>
      <c r="E30" s="39">
        <v>8000</v>
      </c>
      <c r="F30" s="41">
        <v>454.88</v>
      </c>
      <c r="G30" s="109">
        <v>0</v>
      </c>
      <c r="H30" s="43" t="s">
        <v>135</v>
      </c>
      <c r="I30" s="44">
        <v>3639040</v>
      </c>
      <c r="J30" s="50"/>
      <c r="K30" s="27"/>
      <c r="L30" s="27"/>
      <c r="M30" s="27"/>
    </row>
    <row r="31" spans="1:13" s="28" customFormat="1" ht="14.25" x14ac:dyDescent="0.3">
      <c r="A31" s="37" t="s">
        <v>151</v>
      </c>
      <c r="B31" s="38" t="s">
        <v>59</v>
      </c>
      <c r="C31" s="40">
        <v>43181</v>
      </c>
      <c r="D31" s="40">
        <v>43214</v>
      </c>
      <c r="E31" s="39">
        <v>5040</v>
      </c>
      <c r="F31" s="41">
        <v>454.88</v>
      </c>
      <c r="G31" s="109">
        <v>0</v>
      </c>
      <c r="H31" s="43" t="s">
        <v>135</v>
      </c>
      <c r="I31" s="44">
        <v>2292590</v>
      </c>
      <c r="J31" s="50"/>
      <c r="K31" s="27"/>
      <c r="L31" s="27"/>
      <c r="M31" s="27"/>
    </row>
    <row r="32" spans="1:13" s="28" customFormat="1" ht="14.25" x14ac:dyDescent="0.3">
      <c r="A32" s="90" t="s">
        <v>152</v>
      </c>
      <c r="B32" s="91" t="s">
        <v>61</v>
      </c>
      <c r="C32" s="93">
        <v>43172</v>
      </c>
      <c r="D32" s="93">
        <v>43206</v>
      </c>
      <c r="E32" s="92">
        <v>22960</v>
      </c>
      <c r="F32" s="94">
        <v>454.88</v>
      </c>
      <c r="G32" s="111">
        <v>0</v>
      </c>
      <c r="H32" s="96" t="s">
        <v>135</v>
      </c>
      <c r="I32" s="97">
        <v>10444040</v>
      </c>
      <c r="J32" s="50"/>
      <c r="K32" s="27"/>
      <c r="L32" s="27"/>
      <c r="M32" s="27"/>
    </row>
    <row r="33" spans="1:13" s="28" customFormat="1" ht="14.25" x14ac:dyDescent="0.3">
      <c r="A33" s="37" t="s">
        <v>153</v>
      </c>
      <c r="B33" s="49" t="s">
        <v>63</v>
      </c>
      <c r="C33" s="40">
        <v>43174</v>
      </c>
      <c r="D33" s="40">
        <v>43207</v>
      </c>
      <c r="E33" s="39">
        <v>6160</v>
      </c>
      <c r="F33" s="41">
        <v>421.68</v>
      </c>
      <c r="G33" s="109">
        <v>0</v>
      </c>
      <c r="H33" s="43" t="s">
        <v>135</v>
      </c>
      <c r="I33" s="44">
        <v>2597550</v>
      </c>
      <c r="J33" s="50"/>
      <c r="K33" s="27"/>
      <c r="L33" s="27"/>
      <c r="M33" s="27"/>
    </row>
    <row r="34" spans="1:13" s="28" customFormat="1" ht="14.25" x14ac:dyDescent="0.3">
      <c r="A34" s="37" t="s">
        <v>154</v>
      </c>
      <c r="B34" s="38" t="s">
        <v>65</v>
      </c>
      <c r="C34" s="40">
        <v>43174</v>
      </c>
      <c r="D34" s="40">
        <v>43206</v>
      </c>
      <c r="E34" s="39">
        <v>2374</v>
      </c>
      <c r="F34" s="41">
        <v>454.88</v>
      </c>
      <c r="G34" s="109">
        <v>0</v>
      </c>
      <c r="H34" s="43" t="s">
        <v>135</v>
      </c>
      <c r="I34" s="44">
        <v>1079890</v>
      </c>
      <c r="J34" s="50"/>
      <c r="K34" s="27"/>
      <c r="L34" s="27"/>
      <c r="M34" s="27"/>
    </row>
    <row r="35" spans="1:13" s="28" customFormat="1" ht="14.25" x14ac:dyDescent="0.3">
      <c r="A35" s="37" t="s">
        <v>155</v>
      </c>
      <c r="B35" s="38" t="s">
        <v>67</v>
      </c>
      <c r="C35" s="40">
        <v>43164</v>
      </c>
      <c r="D35" s="40">
        <v>43195</v>
      </c>
      <c r="E35" s="39">
        <v>1163</v>
      </c>
      <c r="F35" s="41">
        <v>454.88</v>
      </c>
      <c r="G35" s="109">
        <v>0</v>
      </c>
      <c r="H35" s="43" t="s">
        <v>135</v>
      </c>
      <c r="I35" s="44">
        <v>529020</v>
      </c>
      <c r="J35" s="50"/>
      <c r="K35" s="27"/>
      <c r="L35" s="27"/>
      <c r="M35" s="27"/>
    </row>
    <row r="36" spans="1:13" s="28" customFormat="1" ht="14.25" x14ac:dyDescent="0.3">
      <c r="A36" s="37" t="s">
        <v>156</v>
      </c>
      <c r="B36" s="38" t="s">
        <v>69</v>
      </c>
      <c r="C36" s="40">
        <v>43174</v>
      </c>
      <c r="D36" s="40">
        <v>43207</v>
      </c>
      <c r="E36" s="39">
        <v>7120</v>
      </c>
      <c r="F36" s="41">
        <v>454.88</v>
      </c>
      <c r="G36" s="109">
        <v>0</v>
      </c>
      <c r="H36" s="43" t="s">
        <v>135</v>
      </c>
      <c r="I36" s="44">
        <v>3238750</v>
      </c>
      <c r="J36" s="50"/>
      <c r="K36" s="27"/>
      <c r="L36" s="27"/>
      <c r="M36" s="27"/>
    </row>
    <row r="37" spans="1:13" s="28" customFormat="1" ht="14.25" x14ac:dyDescent="0.3">
      <c r="A37" s="37" t="s">
        <v>157</v>
      </c>
      <c r="B37" s="38" t="s">
        <v>71</v>
      </c>
      <c r="C37" s="40">
        <v>43172</v>
      </c>
      <c r="D37" s="40">
        <v>43208</v>
      </c>
      <c r="E37" s="39">
        <v>2720</v>
      </c>
      <c r="F37" s="41">
        <v>421.68</v>
      </c>
      <c r="G37" s="109">
        <v>0</v>
      </c>
      <c r="H37" s="43" t="s">
        <v>135</v>
      </c>
      <c r="I37" s="44">
        <v>1146970</v>
      </c>
      <c r="J37" s="50"/>
      <c r="K37" s="27"/>
      <c r="L37" s="27"/>
      <c r="M37" s="27"/>
    </row>
    <row r="38" spans="1:13" s="28" customFormat="1" ht="14.25" x14ac:dyDescent="0.3">
      <c r="A38" s="37" t="s">
        <v>158</v>
      </c>
      <c r="B38" s="38" t="s">
        <v>73</v>
      </c>
      <c r="C38" s="40">
        <v>43179</v>
      </c>
      <c r="D38" s="40">
        <v>43210</v>
      </c>
      <c r="E38" s="39">
        <v>2299</v>
      </c>
      <c r="F38" s="41">
        <v>454.88</v>
      </c>
      <c r="G38" s="109">
        <v>0</v>
      </c>
      <c r="H38" s="43" t="s">
        <v>135</v>
      </c>
      <c r="I38" s="44">
        <v>1045770</v>
      </c>
      <c r="J38" s="50"/>
      <c r="K38" s="27"/>
      <c r="L38" s="27"/>
      <c r="M38" s="27"/>
    </row>
    <row r="39" spans="1:13" s="28" customFormat="1" ht="14.25" x14ac:dyDescent="0.3">
      <c r="A39" s="37" t="s">
        <v>180</v>
      </c>
      <c r="B39" s="38" t="s">
        <v>116</v>
      </c>
      <c r="C39" s="40">
        <v>43173</v>
      </c>
      <c r="D39" s="40">
        <v>43209</v>
      </c>
      <c r="E39" s="39">
        <v>9920</v>
      </c>
      <c r="F39" s="41">
        <v>454.88</v>
      </c>
      <c r="G39" s="109">
        <v>0</v>
      </c>
      <c r="H39" s="43" t="s">
        <v>135</v>
      </c>
      <c r="I39" s="44">
        <v>4512410</v>
      </c>
      <c r="J39" s="50"/>
      <c r="K39" s="27"/>
      <c r="L39" s="27"/>
      <c r="M39" s="27"/>
    </row>
    <row r="40" spans="1:13" s="28" customFormat="1" ht="14.25" x14ac:dyDescent="0.3">
      <c r="A40" s="37" t="s">
        <v>160</v>
      </c>
      <c r="B40" s="38" t="s">
        <v>77</v>
      </c>
      <c r="C40" s="40">
        <v>43181</v>
      </c>
      <c r="D40" s="40">
        <v>43214</v>
      </c>
      <c r="E40" s="39">
        <v>10260</v>
      </c>
      <c r="F40" s="41">
        <v>454.88</v>
      </c>
      <c r="G40" s="109">
        <v>0</v>
      </c>
      <c r="H40" s="43" t="s">
        <v>135</v>
      </c>
      <c r="I40" s="44">
        <v>4667070</v>
      </c>
      <c r="J40" s="50"/>
      <c r="K40" s="27"/>
      <c r="L40" s="27"/>
      <c r="M40" s="27"/>
    </row>
    <row r="41" spans="1:13" s="28" customFormat="1" ht="14.25" x14ac:dyDescent="0.3">
      <c r="A41" s="37" t="s">
        <v>161</v>
      </c>
      <c r="B41" s="38" t="s">
        <v>79</v>
      </c>
      <c r="C41" s="40">
        <v>43173</v>
      </c>
      <c r="D41" s="40">
        <v>43209</v>
      </c>
      <c r="E41" s="39">
        <v>8640</v>
      </c>
      <c r="F41" s="41">
        <v>421</v>
      </c>
      <c r="G41" s="109">
        <v>0</v>
      </c>
      <c r="H41" s="43" t="s">
        <v>135</v>
      </c>
      <c r="I41" s="44">
        <v>3643310</v>
      </c>
      <c r="J41" s="50"/>
      <c r="K41" s="27"/>
      <c r="L41" s="27"/>
      <c r="M41" s="27"/>
    </row>
    <row r="42" spans="1:13" s="28" customFormat="1" ht="14.25" x14ac:dyDescent="0.3">
      <c r="A42" s="59" t="s">
        <v>162</v>
      </c>
      <c r="B42" s="49" t="s">
        <v>81</v>
      </c>
      <c r="C42" s="40">
        <v>43167</v>
      </c>
      <c r="D42" s="40">
        <v>43199</v>
      </c>
      <c r="E42" s="39">
        <v>2804</v>
      </c>
      <c r="F42" s="41">
        <v>454.88</v>
      </c>
      <c r="G42" s="109">
        <v>0</v>
      </c>
      <c r="H42" s="43" t="s">
        <v>135</v>
      </c>
      <c r="I42" s="44">
        <v>1275480</v>
      </c>
      <c r="J42" s="50"/>
      <c r="K42" s="27"/>
      <c r="L42" s="27"/>
      <c r="M42" s="27"/>
    </row>
    <row r="43" spans="1:13" s="28" customFormat="1" ht="14.25" x14ac:dyDescent="0.3">
      <c r="A43" s="59" t="s">
        <v>163</v>
      </c>
      <c r="B43" s="49" t="s">
        <v>83</v>
      </c>
      <c r="C43" s="40">
        <v>43173</v>
      </c>
      <c r="D43" s="40">
        <v>43209</v>
      </c>
      <c r="E43" s="39">
        <v>10080</v>
      </c>
      <c r="F43" s="41">
        <v>421.68</v>
      </c>
      <c r="G43" s="109">
        <v>0</v>
      </c>
      <c r="H43" s="43" t="s">
        <v>135</v>
      </c>
      <c r="I43" s="44">
        <v>4250540</v>
      </c>
      <c r="J43" s="50"/>
      <c r="K43" s="27"/>
      <c r="L43" s="27"/>
      <c r="M43" s="27"/>
    </row>
    <row r="44" spans="1:13" s="28" customFormat="1" ht="14.25" x14ac:dyDescent="0.3">
      <c r="A44" s="37" t="s">
        <v>196</v>
      </c>
      <c r="B44" s="49" t="s">
        <v>85</v>
      </c>
      <c r="C44" s="40">
        <v>43180</v>
      </c>
      <c r="D44" s="40">
        <v>43213</v>
      </c>
      <c r="E44" s="39">
        <v>8000</v>
      </c>
      <c r="F44" s="41">
        <v>421.68</v>
      </c>
      <c r="G44" s="109">
        <v>0</v>
      </c>
      <c r="H44" s="43" t="s">
        <v>135</v>
      </c>
      <c r="I44" s="44">
        <v>3373440</v>
      </c>
      <c r="J44" s="50"/>
      <c r="K44" s="27"/>
      <c r="L44" s="27"/>
      <c r="M44" s="27"/>
    </row>
    <row r="45" spans="1:13" s="28" customFormat="1" ht="14.25" x14ac:dyDescent="0.3">
      <c r="A45" s="37" t="s">
        <v>166</v>
      </c>
      <c r="B45" s="38" t="s">
        <v>89</v>
      </c>
      <c r="C45" s="40">
        <v>43154</v>
      </c>
      <c r="D45" s="40">
        <v>43176</v>
      </c>
      <c r="E45" s="39">
        <v>9920</v>
      </c>
      <c r="F45" s="41">
        <v>418.04</v>
      </c>
      <c r="G45" s="109">
        <v>0</v>
      </c>
      <c r="H45" s="43" t="s">
        <v>135</v>
      </c>
      <c r="I45" s="44">
        <v>4146950</v>
      </c>
      <c r="J45" s="50"/>
      <c r="K45" s="27"/>
      <c r="L45" s="27"/>
      <c r="M45" s="27"/>
    </row>
    <row r="46" spans="1:13" s="28" customFormat="1" ht="14.25" x14ac:dyDescent="0.3">
      <c r="A46" s="37" t="s">
        <v>167</v>
      </c>
      <c r="B46" s="38" t="s">
        <v>91</v>
      </c>
      <c r="C46" s="40">
        <v>43180</v>
      </c>
      <c r="D46" s="40">
        <v>43182</v>
      </c>
      <c r="E46" s="39">
        <v>6880</v>
      </c>
      <c r="F46" s="41">
        <v>421.68</v>
      </c>
      <c r="G46" s="109">
        <v>0</v>
      </c>
      <c r="H46" s="43" t="s">
        <v>135</v>
      </c>
      <c r="I46" s="44">
        <v>2901160</v>
      </c>
      <c r="J46" s="50"/>
      <c r="K46" s="27"/>
      <c r="L46" s="27"/>
      <c r="M46" s="27"/>
    </row>
    <row r="47" spans="1:13" s="28" customFormat="1" ht="14.25" x14ac:dyDescent="0.3">
      <c r="A47" s="37" t="s">
        <v>168</v>
      </c>
      <c r="B47" s="38" t="s">
        <v>93</v>
      </c>
      <c r="C47" s="40">
        <v>43176</v>
      </c>
      <c r="D47" s="40">
        <v>43209</v>
      </c>
      <c r="E47" s="39">
        <v>4400</v>
      </c>
      <c r="F47" s="41">
        <v>421.68</v>
      </c>
      <c r="G47" s="109">
        <v>0</v>
      </c>
      <c r="H47" s="43" t="s">
        <v>135</v>
      </c>
      <c r="I47" s="44">
        <v>1855390</v>
      </c>
      <c r="J47" s="50"/>
      <c r="K47" s="27"/>
      <c r="L47" s="27"/>
      <c r="M47" s="27"/>
    </row>
    <row r="48" spans="1:13" s="28" customFormat="1" ht="14.25" x14ac:dyDescent="0.3">
      <c r="A48" s="37" t="s">
        <v>169</v>
      </c>
      <c r="B48" s="38" t="s">
        <v>95</v>
      </c>
      <c r="C48" s="40">
        <v>43181</v>
      </c>
      <c r="D48" s="40">
        <v>43214</v>
      </c>
      <c r="E48" s="39">
        <v>7680</v>
      </c>
      <c r="F48" s="41">
        <v>421.68</v>
      </c>
      <c r="G48" s="109">
        <v>0</v>
      </c>
      <c r="H48" s="43" t="s">
        <v>135</v>
      </c>
      <c r="I48" s="44">
        <v>3238510</v>
      </c>
      <c r="J48" s="50"/>
      <c r="K48" s="27"/>
      <c r="L48" s="27"/>
      <c r="M48" s="27"/>
    </row>
    <row r="49" spans="1:13" s="28" customFormat="1" ht="14.25" x14ac:dyDescent="0.3">
      <c r="A49" s="37" t="s">
        <v>170</v>
      </c>
      <c r="B49" s="38" t="s">
        <v>97</v>
      </c>
      <c r="C49" s="40" t="s">
        <v>171</v>
      </c>
      <c r="D49" s="40" t="s">
        <v>171</v>
      </c>
      <c r="E49" s="39">
        <v>0</v>
      </c>
      <c r="F49" s="39">
        <v>0</v>
      </c>
      <c r="G49" s="39">
        <v>0</v>
      </c>
      <c r="H49" s="40" t="s">
        <v>171</v>
      </c>
      <c r="I49" s="44">
        <v>0</v>
      </c>
      <c r="J49" s="50"/>
      <c r="K49" s="27"/>
      <c r="L49" s="27"/>
      <c r="M49" s="27"/>
    </row>
    <row r="50" spans="1:13" s="28" customFormat="1" ht="14.25" x14ac:dyDescent="0.3">
      <c r="A50" s="37" t="s">
        <v>172</v>
      </c>
      <c r="B50" s="49" t="s">
        <v>100</v>
      </c>
      <c r="C50" s="40">
        <v>43176</v>
      </c>
      <c r="D50" s="40">
        <v>43209</v>
      </c>
      <c r="E50" s="39">
        <v>6000</v>
      </c>
      <c r="F50" s="41">
        <v>421.68</v>
      </c>
      <c r="G50" s="109">
        <v>0</v>
      </c>
      <c r="H50" s="61" t="s">
        <v>135</v>
      </c>
      <c r="I50" s="44">
        <v>2530080</v>
      </c>
      <c r="J50" s="50"/>
      <c r="K50" s="27"/>
      <c r="L50" s="27"/>
      <c r="M50" s="27"/>
    </row>
    <row r="51" spans="1:13" s="28" customFormat="1" ht="14.25" x14ac:dyDescent="0.3">
      <c r="A51" s="37" t="s">
        <v>173</v>
      </c>
      <c r="B51" s="38" t="s">
        <v>102</v>
      </c>
      <c r="C51" s="40">
        <v>43171</v>
      </c>
      <c r="D51" s="40">
        <v>43204</v>
      </c>
      <c r="E51" s="39">
        <v>2400</v>
      </c>
      <c r="F51" s="41">
        <v>454.88</v>
      </c>
      <c r="G51" s="109">
        <v>0</v>
      </c>
      <c r="H51" s="43" t="s">
        <v>135</v>
      </c>
      <c r="I51" s="44">
        <v>1091720</v>
      </c>
      <c r="J51" s="50"/>
      <c r="K51" s="27"/>
      <c r="L51" s="27"/>
      <c r="M51" s="27"/>
    </row>
    <row r="52" spans="1:13" s="28" customFormat="1" ht="14.25" x14ac:dyDescent="0.3">
      <c r="A52" s="37" t="s">
        <v>174</v>
      </c>
      <c r="B52" s="38" t="s">
        <v>104</v>
      </c>
      <c r="C52" s="40">
        <v>43176</v>
      </c>
      <c r="D52" s="40">
        <v>43209</v>
      </c>
      <c r="E52" s="39">
        <v>6960</v>
      </c>
      <c r="F52" s="41">
        <v>454.88</v>
      </c>
      <c r="G52" s="109">
        <v>0</v>
      </c>
      <c r="H52" s="43" t="s">
        <v>135</v>
      </c>
      <c r="I52" s="44">
        <v>3165960</v>
      </c>
      <c r="J52" s="50"/>
      <c r="K52" s="27"/>
      <c r="L52" s="27"/>
      <c r="M52" s="27"/>
    </row>
    <row r="53" spans="1:13" s="28" customFormat="1" ht="14.25" x14ac:dyDescent="0.3">
      <c r="A53" s="37" t="s">
        <v>175</v>
      </c>
      <c r="B53" s="38" t="s">
        <v>106</v>
      </c>
      <c r="C53" s="40">
        <v>43174</v>
      </c>
      <c r="D53" s="40">
        <v>43207</v>
      </c>
      <c r="E53" s="39">
        <v>1994</v>
      </c>
      <c r="F53" s="41">
        <v>454.88</v>
      </c>
      <c r="G53" s="109">
        <v>0</v>
      </c>
      <c r="H53" s="43" t="s">
        <v>135</v>
      </c>
      <c r="I53" s="44">
        <v>907030</v>
      </c>
      <c r="J53" s="50"/>
      <c r="K53" s="27"/>
      <c r="L53" s="27"/>
      <c r="M53" s="27"/>
    </row>
    <row r="54" spans="1:13" s="28" customFormat="1" ht="14.25" x14ac:dyDescent="0.3">
      <c r="A54" s="37" t="s">
        <v>176</v>
      </c>
      <c r="B54" s="38" t="s">
        <v>108</v>
      </c>
      <c r="C54" s="40">
        <v>43179</v>
      </c>
      <c r="D54" s="40">
        <v>43210</v>
      </c>
      <c r="E54" s="39">
        <v>4730</v>
      </c>
      <c r="F54" s="41">
        <v>421.68</v>
      </c>
      <c r="G54" s="109">
        <v>0</v>
      </c>
      <c r="H54" s="43" t="s">
        <v>135</v>
      </c>
      <c r="I54" s="44">
        <v>2006560</v>
      </c>
      <c r="J54" s="50"/>
      <c r="K54" s="27"/>
      <c r="L54" s="27"/>
      <c r="M54" s="27"/>
    </row>
    <row r="55" spans="1:13" s="28" customFormat="1" ht="14.25" x14ac:dyDescent="0.3">
      <c r="A55" s="37" t="s">
        <v>177</v>
      </c>
      <c r="B55" s="38" t="s">
        <v>110</v>
      </c>
      <c r="C55" s="40">
        <v>43176</v>
      </c>
      <c r="D55" s="40">
        <v>43209</v>
      </c>
      <c r="E55" s="39">
        <v>8000</v>
      </c>
      <c r="F55" s="41">
        <v>421.68</v>
      </c>
      <c r="G55" s="109">
        <v>0</v>
      </c>
      <c r="H55" s="43" t="s">
        <v>135</v>
      </c>
      <c r="I55" s="44">
        <v>3373440</v>
      </c>
      <c r="J55" s="50"/>
      <c r="K55" s="27"/>
      <c r="L55" s="27"/>
      <c r="M55" s="27"/>
    </row>
    <row r="56" spans="1:13" s="27" customFormat="1" ht="14.25" x14ac:dyDescent="0.3">
      <c r="A56" s="37" t="s">
        <v>178</v>
      </c>
      <c r="B56" s="38" t="s">
        <v>112</v>
      </c>
      <c r="C56" s="40">
        <v>43180</v>
      </c>
      <c r="D56" s="40">
        <v>43211</v>
      </c>
      <c r="E56" s="39">
        <v>1321</v>
      </c>
      <c r="F56" s="41">
        <v>454.88</v>
      </c>
      <c r="G56" s="109">
        <v>0</v>
      </c>
      <c r="H56" s="43" t="s">
        <v>135</v>
      </c>
      <c r="I56" s="44">
        <v>600900</v>
      </c>
      <c r="J56" s="50"/>
    </row>
    <row r="57" spans="1:13" s="27" customFormat="1" ht="14.25" x14ac:dyDescent="0.3">
      <c r="A57" s="37" t="s">
        <v>179</v>
      </c>
      <c r="B57" s="38" t="s">
        <v>114</v>
      </c>
      <c r="C57" s="40">
        <v>43181</v>
      </c>
      <c r="D57" s="40">
        <v>43214</v>
      </c>
      <c r="E57" s="39">
        <v>5120</v>
      </c>
      <c r="F57" s="41">
        <v>421.68</v>
      </c>
      <c r="G57" s="109">
        <v>0</v>
      </c>
      <c r="H57" s="43" t="s">
        <v>135</v>
      </c>
      <c r="I57" s="44">
        <v>2159010</v>
      </c>
      <c r="J57" s="50"/>
    </row>
    <row r="58" spans="1:13" s="27" customFormat="1" ht="14.25" x14ac:dyDescent="0.3">
      <c r="A58" s="319" t="s">
        <v>198</v>
      </c>
      <c r="B58" s="319" t="s">
        <v>4</v>
      </c>
      <c r="C58" s="319" t="s">
        <v>6</v>
      </c>
      <c r="D58" s="319"/>
      <c r="E58" s="36" t="s">
        <v>7</v>
      </c>
      <c r="F58" s="36" t="s">
        <v>132</v>
      </c>
      <c r="G58" s="319" t="s">
        <v>133</v>
      </c>
      <c r="H58" s="319" t="s">
        <v>134</v>
      </c>
      <c r="I58" s="320" t="s">
        <v>11</v>
      </c>
      <c r="J58" s="50"/>
    </row>
    <row r="59" spans="1:13" s="27" customFormat="1" ht="14.25" x14ac:dyDescent="0.3">
      <c r="A59" s="319"/>
      <c r="B59" s="319"/>
      <c r="C59" s="36" t="s">
        <v>15</v>
      </c>
      <c r="D59" s="36" t="s">
        <v>16</v>
      </c>
      <c r="E59" s="36" t="s">
        <v>17</v>
      </c>
      <c r="F59" s="36" t="s">
        <v>17</v>
      </c>
      <c r="G59" s="319"/>
      <c r="H59" s="319"/>
      <c r="I59" s="320"/>
      <c r="J59" s="50"/>
    </row>
    <row r="60" spans="1:13" s="27" customFormat="1" ht="14.25" x14ac:dyDescent="0.3">
      <c r="A60" s="37" t="s">
        <v>159</v>
      </c>
      <c r="B60" s="38" t="s">
        <v>75</v>
      </c>
      <c r="C60" s="40" t="s">
        <v>171</v>
      </c>
      <c r="D60" s="39">
        <v>0</v>
      </c>
      <c r="E60" s="39">
        <v>0</v>
      </c>
      <c r="F60" s="39">
        <v>0</v>
      </c>
      <c r="G60" s="40" t="s">
        <v>171</v>
      </c>
      <c r="H60" s="40" t="s">
        <v>171</v>
      </c>
      <c r="I60" s="44">
        <v>0</v>
      </c>
      <c r="J60" s="50"/>
    </row>
    <row r="61" spans="1:13" s="27" customFormat="1" ht="14.25" x14ac:dyDescent="0.3">
      <c r="A61" s="37" t="s">
        <v>149</v>
      </c>
      <c r="B61" s="38" t="s">
        <v>55</v>
      </c>
      <c r="C61" s="40">
        <v>43176</v>
      </c>
      <c r="D61" s="40">
        <v>43209</v>
      </c>
      <c r="E61" s="39">
        <v>70</v>
      </c>
      <c r="F61" s="41">
        <v>454.88</v>
      </c>
      <c r="G61" s="109">
        <v>0</v>
      </c>
      <c r="H61" s="43" t="s">
        <v>135</v>
      </c>
      <c r="I61" s="44">
        <v>31840</v>
      </c>
      <c r="J61" s="50"/>
    </row>
    <row r="62" spans="1:13" s="27" customFormat="1" ht="14.25" x14ac:dyDescent="0.3">
      <c r="A62" s="37" t="s">
        <v>150</v>
      </c>
      <c r="B62" s="38" t="s">
        <v>57</v>
      </c>
      <c r="C62" s="40">
        <v>43176</v>
      </c>
      <c r="D62" s="40">
        <v>43209</v>
      </c>
      <c r="E62" s="39">
        <v>0</v>
      </c>
      <c r="F62" s="41">
        <v>0</v>
      </c>
      <c r="G62" s="109">
        <v>0</v>
      </c>
      <c r="H62" s="43" t="s">
        <v>135</v>
      </c>
      <c r="I62" s="44">
        <v>0</v>
      </c>
      <c r="J62" s="50"/>
    </row>
    <row r="63" spans="1:13" s="27" customFormat="1" ht="14.25" x14ac:dyDescent="0.3">
      <c r="A63" s="37" t="s">
        <v>165</v>
      </c>
      <c r="B63" s="49" t="s">
        <v>87</v>
      </c>
      <c r="C63" s="40">
        <v>43176</v>
      </c>
      <c r="D63" s="40">
        <v>43209</v>
      </c>
      <c r="E63" s="39">
        <v>0</v>
      </c>
      <c r="F63" s="41">
        <v>0</v>
      </c>
      <c r="G63" s="109">
        <v>0</v>
      </c>
      <c r="H63" s="43" t="s">
        <v>136</v>
      </c>
      <c r="I63" s="44">
        <v>0</v>
      </c>
      <c r="J63" s="50"/>
    </row>
    <row r="64" spans="1:13" s="27" customFormat="1" ht="14.25" x14ac:dyDescent="0.3">
      <c r="A64" s="62"/>
      <c r="B64" s="98"/>
      <c r="C64" s="65"/>
      <c r="D64" s="65"/>
      <c r="E64" s="99">
        <f>SUM(E9:E57)</f>
        <v>767508</v>
      </c>
      <c r="F64" s="100"/>
      <c r="G64" s="112"/>
      <c r="H64" s="101"/>
      <c r="I64" s="102"/>
      <c r="J64" s="50"/>
    </row>
    <row r="65" spans="1:11" s="27" customFormat="1" ht="15" customHeight="1" x14ac:dyDescent="0.3">
      <c r="A65" s="62"/>
      <c r="B65" s="63"/>
      <c r="C65" s="65"/>
      <c r="D65" s="65"/>
      <c r="E65" s="103"/>
      <c r="F65" s="103"/>
      <c r="G65" s="113"/>
      <c r="H65" s="68"/>
      <c r="I65" s="105"/>
      <c r="J65" s="26"/>
    </row>
    <row r="66" spans="1:11" s="27" customFormat="1" ht="15" customHeight="1" x14ac:dyDescent="0.3">
      <c r="A66" s="340" t="s">
        <v>211</v>
      </c>
      <c r="B66" s="340"/>
      <c r="C66" s="340"/>
      <c r="D66" s="65"/>
      <c r="E66" s="103"/>
      <c r="G66" s="329" t="s">
        <v>200</v>
      </c>
      <c r="H66" s="329"/>
      <c r="I66" s="106">
        <f>SUM(I9:I57)</f>
        <v>308551440</v>
      </c>
      <c r="J66" s="26"/>
    </row>
    <row r="67" spans="1:11" s="27" customFormat="1" ht="15" customHeight="1" x14ac:dyDescent="0.3">
      <c r="A67" s="340"/>
      <c r="B67" s="340"/>
      <c r="C67" s="340"/>
      <c r="D67" s="65"/>
      <c r="E67" s="103"/>
      <c r="G67" s="329" t="s">
        <v>201</v>
      </c>
      <c r="H67" s="329"/>
      <c r="I67" s="106">
        <f>SUM(I60:I64)</f>
        <v>31840</v>
      </c>
      <c r="J67" s="26"/>
    </row>
    <row r="68" spans="1:11" s="27" customFormat="1" ht="15" customHeight="1" x14ac:dyDescent="0.3">
      <c r="A68" s="340"/>
      <c r="B68" s="340"/>
      <c r="C68" s="340"/>
      <c r="D68" s="65"/>
      <c r="E68" s="103"/>
      <c r="G68" s="330" t="s">
        <v>202</v>
      </c>
      <c r="H68" s="330"/>
      <c r="I68" s="106">
        <f>SUM(I66:I67)</f>
        <v>308583280</v>
      </c>
      <c r="J68" s="26"/>
    </row>
    <row r="69" spans="1:11" s="27" customFormat="1" ht="15" customHeight="1" x14ac:dyDescent="0.3">
      <c r="A69" s="341"/>
      <c r="B69" s="341"/>
      <c r="C69" s="341"/>
      <c r="D69" s="65"/>
      <c r="E69" s="103"/>
      <c r="G69" s="331" t="s">
        <v>203</v>
      </c>
      <c r="H69" s="331"/>
      <c r="I69" s="107">
        <f>I68</f>
        <v>308583280</v>
      </c>
      <c r="J69" s="26"/>
    </row>
    <row r="70" spans="1:11" s="27" customFormat="1" ht="15" customHeight="1" x14ac:dyDescent="0.3">
      <c r="B70" s="70"/>
      <c r="C70" s="70"/>
      <c r="D70" s="71"/>
      <c r="E70" s="72"/>
      <c r="F70" s="72"/>
      <c r="G70" s="73"/>
      <c r="H70" s="73"/>
      <c r="I70" s="27">
        <v>313879830</v>
      </c>
      <c r="J70" s="26"/>
    </row>
    <row r="71" spans="1:11" s="27" customFormat="1" ht="15" customHeight="1" x14ac:dyDescent="0.3">
      <c r="B71" s="70"/>
      <c r="C71" s="72"/>
      <c r="D71" s="72"/>
      <c r="E71" s="77"/>
      <c r="F71" s="77"/>
      <c r="G71" s="81"/>
      <c r="H71" s="77"/>
      <c r="I71" s="78">
        <f>+I70-I69</f>
        <v>5296550</v>
      </c>
      <c r="J71" s="79"/>
      <c r="K71" s="80"/>
    </row>
    <row r="72" spans="1:11" s="27" customFormat="1" ht="14.25" x14ac:dyDescent="0.3">
      <c r="A72" s="27" t="s">
        <v>185</v>
      </c>
      <c r="B72" s="70"/>
      <c r="C72" s="72"/>
      <c r="D72" s="72"/>
      <c r="E72" s="81"/>
      <c r="F72" s="81"/>
      <c r="G72" s="81"/>
      <c r="H72" s="81"/>
      <c r="I72" s="82"/>
      <c r="J72" s="79"/>
      <c r="K72" s="80"/>
    </row>
    <row r="73" spans="1:11" s="27" customFormat="1" ht="14.25" x14ac:dyDescent="0.3">
      <c r="A73" s="83" t="s">
        <v>186</v>
      </c>
      <c r="B73" s="84"/>
      <c r="C73" s="84"/>
      <c r="D73" s="85"/>
      <c r="E73" s="85"/>
      <c r="F73" s="85"/>
      <c r="G73" s="114"/>
      <c r="H73" s="85"/>
      <c r="I73" s="85"/>
      <c r="J73" s="79"/>
      <c r="K73" s="80"/>
    </row>
    <row r="74" spans="1:11" s="27" customFormat="1" ht="14.25" x14ac:dyDescent="0.3">
      <c r="A74" s="86" t="s">
        <v>187</v>
      </c>
      <c r="B74" s="84"/>
      <c r="C74" s="84"/>
      <c r="D74" s="85"/>
      <c r="E74" s="85"/>
      <c r="F74" s="85"/>
      <c r="G74" s="114"/>
      <c r="H74" s="85"/>
      <c r="I74" s="85"/>
      <c r="J74" s="79"/>
      <c r="K74" s="80"/>
    </row>
    <row r="75" spans="1:11" s="27" customFormat="1" ht="14.25" x14ac:dyDescent="0.3">
      <c r="A75" s="80"/>
      <c r="B75" s="80"/>
      <c r="C75" s="80"/>
      <c r="D75" s="80"/>
      <c r="E75" s="80"/>
      <c r="F75" s="80"/>
      <c r="G75" s="34"/>
      <c r="H75" s="80"/>
      <c r="I75" s="80"/>
      <c r="J75" s="26"/>
    </row>
    <row r="76" spans="1:11" s="27" customFormat="1" ht="14.25" x14ac:dyDescent="0.3">
      <c r="A76" s="80"/>
      <c r="B76" s="80"/>
      <c r="C76" s="80"/>
      <c r="D76" s="80"/>
      <c r="E76" s="80"/>
      <c r="F76" s="80"/>
      <c r="G76" s="34"/>
      <c r="H76" s="80"/>
      <c r="I76" s="80"/>
      <c r="J76" s="26"/>
    </row>
    <row r="77" spans="1:11" s="27" customFormat="1" ht="14.25" x14ac:dyDescent="0.3">
      <c r="A77" s="80"/>
      <c r="B77" s="80"/>
      <c r="C77" s="80"/>
      <c r="D77" s="80"/>
      <c r="E77" s="80"/>
      <c r="F77" s="80"/>
      <c r="G77" s="34"/>
      <c r="H77" s="80"/>
      <c r="I77" s="80"/>
      <c r="J77" s="26"/>
    </row>
  </sheetData>
  <mergeCells count="26">
    <mergeCell ref="A66:C69"/>
    <mergeCell ref="G66:H66"/>
    <mergeCell ref="G67:H67"/>
    <mergeCell ref="G68:H68"/>
    <mergeCell ref="G69:H69"/>
    <mergeCell ref="I7:I8"/>
    <mergeCell ref="J7:J8"/>
    <mergeCell ref="A58:A59"/>
    <mergeCell ref="B58:B59"/>
    <mergeCell ref="C58:D58"/>
    <mergeCell ref="G58:G59"/>
    <mergeCell ref="H58:H59"/>
    <mergeCell ref="I58:I59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4"/>
  <sheetViews>
    <sheetView workbookViewId="0">
      <selection activeCell="A30" sqref="A30"/>
    </sheetView>
  </sheetViews>
  <sheetFormatPr baseColWidth="10" defaultRowHeight="15" x14ac:dyDescent="0.25"/>
  <cols>
    <col min="1" max="1" width="32" customWidth="1"/>
    <col min="2" max="2" width="28.42578125" customWidth="1"/>
    <col min="3" max="6" width="15.140625" customWidth="1"/>
    <col min="7" max="7" width="18.85546875" customWidth="1"/>
    <col min="8" max="8" width="17" customWidth="1"/>
    <col min="9" max="9" width="21.42578125" customWidth="1"/>
    <col min="10" max="10" width="15.140625" customWidth="1"/>
  </cols>
  <sheetData>
    <row r="1" spans="1:13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26"/>
      <c r="K1" s="27"/>
      <c r="L1" s="27"/>
      <c r="M1" s="27"/>
    </row>
    <row r="2" spans="1:13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26"/>
      <c r="L2" s="29"/>
    </row>
    <row r="3" spans="1:13" s="27" customFormat="1" ht="14.25" x14ac:dyDescent="0.3">
      <c r="C3" s="332" t="s">
        <v>204</v>
      </c>
      <c r="D3" s="332"/>
      <c r="E3" s="87" t="s">
        <v>121</v>
      </c>
      <c r="F3" s="333" t="s">
        <v>212</v>
      </c>
      <c r="G3" s="334"/>
      <c r="H3" s="334"/>
      <c r="I3" s="335"/>
      <c r="J3" s="26"/>
      <c r="M3" s="31"/>
    </row>
    <row r="4" spans="1:13" s="27" customFormat="1" ht="14.25" x14ac:dyDescent="0.3">
      <c r="C4" s="336" t="s">
        <v>213</v>
      </c>
      <c r="D4" s="336"/>
      <c r="E4" s="326" t="s">
        <v>125</v>
      </c>
      <c r="F4" s="87" t="s">
        <v>190</v>
      </c>
      <c r="G4" s="332" t="s">
        <v>214</v>
      </c>
      <c r="H4" s="332"/>
      <c r="I4" s="332"/>
      <c r="J4" s="26"/>
    </row>
    <row r="5" spans="1:13" s="27" customFormat="1" ht="14.25" x14ac:dyDescent="0.3">
      <c r="C5" s="337" t="s">
        <v>208</v>
      </c>
      <c r="D5" s="338"/>
      <c r="E5" s="326"/>
      <c r="F5" s="108" t="s">
        <v>192</v>
      </c>
      <c r="G5" s="339" t="s">
        <v>215</v>
      </c>
      <c r="H5" s="339"/>
      <c r="I5" s="339"/>
      <c r="J5" s="26"/>
    </row>
    <row r="6" spans="1:13" s="27" customFormat="1" ht="14.25" x14ac:dyDescent="0.3">
      <c r="B6" s="34"/>
      <c r="C6" s="34"/>
      <c r="D6" s="35"/>
      <c r="G6" s="71"/>
      <c r="H6" s="34"/>
      <c r="I6" s="26"/>
      <c r="J6" s="26"/>
    </row>
    <row r="7" spans="1:13" s="28" customFormat="1" ht="15" customHeight="1" x14ac:dyDescent="0.3">
      <c r="A7" s="319" t="s">
        <v>3</v>
      </c>
      <c r="B7" s="319" t="s">
        <v>4</v>
      </c>
      <c r="C7" s="319" t="s">
        <v>6</v>
      </c>
      <c r="D7" s="319"/>
      <c r="E7" s="36" t="s">
        <v>7</v>
      </c>
      <c r="F7" s="36" t="s">
        <v>132</v>
      </c>
      <c r="G7" s="319" t="s">
        <v>133</v>
      </c>
      <c r="H7" s="319" t="s">
        <v>134</v>
      </c>
      <c r="I7" s="320" t="s">
        <v>11</v>
      </c>
      <c r="J7" s="318"/>
      <c r="K7" s="27"/>
      <c r="L7" s="27"/>
      <c r="M7" s="27"/>
    </row>
    <row r="8" spans="1:13" s="28" customFormat="1" ht="14.25" x14ac:dyDescent="0.3">
      <c r="A8" s="319"/>
      <c r="B8" s="319"/>
      <c r="C8" s="36" t="s">
        <v>15</v>
      </c>
      <c r="D8" s="36" t="s">
        <v>16</v>
      </c>
      <c r="E8" s="36" t="s">
        <v>17</v>
      </c>
      <c r="F8" s="36" t="s">
        <v>17</v>
      </c>
      <c r="G8" s="319"/>
      <c r="H8" s="319"/>
      <c r="I8" s="320"/>
      <c r="J8" s="318"/>
      <c r="K8" s="27"/>
      <c r="L8" s="27"/>
      <c r="M8" s="27"/>
    </row>
    <row r="9" spans="1:13" s="28" customFormat="1" ht="14.25" x14ac:dyDescent="0.3">
      <c r="A9" s="37" t="s">
        <v>18</v>
      </c>
      <c r="B9" s="38" t="s">
        <v>19</v>
      </c>
      <c r="C9" s="40">
        <v>43203</v>
      </c>
      <c r="D9" s="40">
        <v>43235</v>
      </c>
      <c r="E9" s="39">
        <v>82080</v>
      </c>
      <c r="F9" s="41">
        <v>389.03</v>
      </c>
      <c r="G9" s="109">
        <v>0</v>
      </c>
      <c r="H9" s="43" t="s">
        <v>135</v>
      </c>
      <c r="I9" s="44">
        <v>32074870</v>
      </c>
      <c r="J9" s="45"/>
      <c r="K9" s="27"/>
      <c r="L9" s="27"/>
      <c r="M9" s="27"/>
    </row>
    <row r="10" spans="1:13" s="28" customFormat="1" ht="14.25" x14ac:dyDescent="0.3">
      <c r="A10" s="37" t="s">
        <v>20</v>
      </c>
      <c r="B10" s="38" t="s">
        <v>19</v>
      </c>
      <c r="C10" s="40">
        <v>43212</v>
      </c>
      <c r="D10" s="40">
        <v>43242</v>
      </c>
      <c r="E10" s="39">
        <v>1604</v>
      </c>
      <c r="F10" s="41">
        <v>461.82</v>
      </c>
      <c r="G10" s="109">
        <v>0</v>
      </c>
      <c r="H10" s="43" t="s">
        <v>136</v>
      </c>
      <c r="I10" s="44">
        <v>740760</v>
      </c>
      <c r="J10" s="45"/>
      <c r="K10" s="27"/>
      <c r="L10" s="27"/>
      <c r="M10" s="27"/>
    </row>
    <row r="11" spans="1:13" s="28" customFormat="1" ht="14.25" x14ac:dyDescent="0.3">
      <c r="A11" s="37" t="s">
        <v>21</v>
      </c>
      <c r="B11" s="38" t="s">
        <v>19</v>
      </c>
      <c r="C11" s="40">
        <v>43203</v>
      </c>
      <c r="D11" s="40">
        <v>43235</v>
      </c>
      <c r="E11" s="39">
        <v>0</v>
      </c>
      <c r="F11" s="41">
        <v>0</v>
      </c>
      <c r="G11" s="110">
        <v>0</v>
      </c>
      <c r="H11" s="43" t="s">
        <v>135</v>
      </c>
      <c r="I11" s="44">
        <v>0</v>
      </c>
      <c r="J11" s="45"/>
      <c r="K11" s="27"/>
      <c r="L11" s="27"/>
      <c r="M11" s="27"/>
    </row>
    <row r="12" spans="1:13" s="28" customFormat="1" ht="14.25" x14ac:dyDescent="0.3">
      <c r="A12" s="37" t="s">
        <v>22</v>
      </c>
      <c r="B12" s="38" t="s">
        <v>19</v>
      </c>
      <c r="C12" s="40">
        <v>43203</v>
      </c>
      <c r="D12" s="40">
        <v>43235</v>
      </c>
      <c r="E12" s="39">
        <v>720</v>
      </c>
      <c r="F12" s="41">
        <v>397.81</v>
      </c>
      <c r="G12" s="109">
        <v>0</v>
      </c>
      <c r="H12" s="43" t="s">
        <v>135</v>
      </c>
      <c r="I12" s="44">
        <v>1126730</v>
      </c>
      <c r="J12" s="47"/>
      <c r="K12" s="27"/>
      <c r="L12" s="27"/>
      <c r="M12" s="27"/>
    </row>
    <row r="13" spans="1:13" s="28" customFormat="1" ht="14.25" x14ac:dyDescent="0.3">
      <c r="A13" s="37" t="s">
        <v>23</v>
      </c>
      <c r="B13" s="38" t="s">
        <v>24</v>
      </c>
      <c r="C13" s="40">
        <v>43209</v>
      </c>
      <c r="D13" s="40">
        <v>43241</v>
      </c>
      <c r="E13" s="39">
        <v>10480</v>
      </c>
      <c r="F13" s="41">
        <v>428.59</v>
      </c>
      <c r="G13" s="109">
        <v>0</v>
      </c>
      <c r="H13" s="43" t="s">
        <v>135</v>
      </c>
      <c r="I13" s="44">
        <v>4491630</v>
      </c>
      <c r="J13" s="45"/>
      <c r="K13" s="27"/>
      <c r="L13" s="27"/>
      <c r="M13" s="27"/>
    </row>
    <row r="14" spans="1:13" s="28" customFormat="1" ht="14.25" x14ac:dyDescent="0.3">
      <c r="A14" s="37" t="s">
        <v>25</v>
      </c>
      <c r="B14" s="38" t="s">
        <v>24</v>
      </c>
      <c r="C14" s="40">
        <v>43209</v>
      </c>
      <c r="D14" s="40">
        <v>43241</v>
      </c>
      <c r="E14" s="39">
        <v>16760</v>
      </c>
      <c r="F14" s="41">
        <v>428.59</v>
      </c>
      <c r="G14" s="109">
        <v>0</v>
      </c>
      <c r="H14" s="43" t="s">
        <v>136</v>
      </c>
      <c r="I14" s="44">
        <v>7183170</v>
      </c>
      <c r="J14" s="45"/>
      <c r="K14" s="27"/>
      <c r="L14" s="27"/>
      <c r="M14" s="27"/>
    </row>
    <row r="15" spans="1:13" s="28" customFormat="1" ht="14.25" x14ac:dyDescent="0.3">
      <c r="A15" s="37" t="s">
        <v>26</v>
      </c>
      <c r="B15" s="38" t="s">
        <v>24</v>
      </c>
      <c r="C15" s="40">
        <v>43212</v>
      </c>
      <c r="D15" s="40">
        <v>43243</v>
      </c>
      <c r="E15" s="39">
        <v>6693</v>
      </c>
      <c r="F15" s="41">
        <v>461.82</v>
      </c>
      <c r="G15" s="109">
        <v>0</v>
      </c>
      <c r="H15" s="43" t="s">
        <v>135</v>
      </c>
      <c r="I15" s="44">
        <v>3090960</v>
      </c>
      <c r="J15" s="45"/>
      <c r="K15" s="27"/>
      <c r="L15" s="27"/>
      <c r="M15" s="27"/>
    </row>
    <row r="16" spans="1:13" s="28" customFormat="1" ht="14.25" x14ac:dyDescent="0.3">
      <c r="A16" s="37" t="s">
        <v>27</v>
      </c>
      <c r="B16" s="38" t="s">
        <v>24</v>
      </c>
      <c r="C16" s="40">
        <v>43212</v>
      </c>
      <c r="D16" s="40">
        <v>43243</v>
      </c>
      <c r="E16" s="39">
        <v>2620</v>
      </c>
      <c r="F16" s="41">
        <v>461.82</v>
      </c>
      <c r="G16" s="109">
        <v>0</v>
      </c>
      <c r="H16" s="43" t="s">
        <v>136</v>
      </c>
      <c r="I16" s="44">
        <v>1209970</v>
      </c>
      <c r="J16" s="45"/>
      <c r="K16" s="27"/>
      <c r="L16" s="27"/>
      <c r="M16" s="27"/>
    </row>
    <row r="17" spans="1:13" s="28" customFormat="1" ht="14.25" x14ac:dyDescent="0.3">
      <c r="A17" s="37" t="s">
        <v>28</v>
      </c>
      <c r="B17" s="38" t="s">
        <v>24</v>
      </c>
      <c r="C17" s="40">
        <v>43212</v>
      </c>
      <c r="D17" s="40">
        <v>43243</v>
      </c>
      <c r="E17" s="39">
        <v>1476</v>
      </c>
      <c r="F17" s="41">
        <v>428.59</v>
      </c>
      <c r="G17" s="109">
        <v>0</v>
      </c>
      <c r="H17" s="43" t="s">
        <v>135</v>
      </c>
      <c r="I17" s="44">
        <v>632600</v>
      </c>
      <c r="J17" s="45"/>
      <c r="K17" s="27"/>
      <c r="L17" s="27"/>
      <c r="M17" s="27"/>
    </row>
    <row r="18" spans="1:13" s="28" customFormat="1" ht="14.25" x14ac:dyDescent="0.3">
      <c r="A18" s="37" t="s">
        <v>29</v>
      </c>
      <c r="B18" s="38" t="s">
        <v>24</v>
      </c>
      <c r="C18" s="40">
        <v>43209</v>
      </c>
      <c r="D18" s="40">
        <v>43241</v>
      </c>
      <c r="E18" s="39">
        <v>12640</v>
      </c>
      <c r="F18" s="41">
        <v>428.59</v>
      </c>
      <c r="G18" s="109">
        <v>0</v>
      </c>
      <c r="H18" s="48" t="s">
        <v>135</v>
      </c>
      <c r="I18" s="44">
        <v>5417370</v>
      </c>
      <c r="J18" s="47"/>
      <c r="K18" s="27"/>
      <c r="L18" s="27"/>
      <c r="M18" s="27"/>
    </row>
    <row r="19" spans="1:13" s="28" customFormat="1" ht="14.25" x14ac:dyDescent="0.3">
      <c r="A19" s="37" t="s">
        <v>137</v>
      </c>
      <c r="B19" s="49" t="s">
        <v>31</v>
      </c>
      <c r="C19" s="40">
        <v>43213</v>
      </c>
      <c r="D19" s="40">
        <v>43214</v>
      </c>
      <c r="E19" s="39">
        <v>43120</v>
      </c>
      <c r="F19" s="41">
        <v>388.51</v>
      </c>
      <c r="G19" s="109">
        <v>4839394.29</v>
      </c>
      <c r="H19" s="43" t="s">
        <v>135</v>
      </c>
      <c r="I19" s="44">
        <v>21653560</v>
      </c>
      <c r="J19" s="50"/>
      <c r="K19" s="27"/>
      <c r="L19" s="27"/>
      <c r="M19" s="27"/>
    </row>
    <row r="20" spans="1:13" s="28" customFormat="1" ht="14.25" x14ac:dyDescent="0.3">
      <c r="A20" s="37" t="s">
        <v>138</v>
      </c>
      <c r="B20" s="38" t="s">
        <v>33</v>
      </c>
      <c r="C20" s="40">
        <v>43176</v>
      </c>
      <c r="D20" s="40">
        <v>43209</v>
      </c>
      <c r="E20" s="39">
        <v>55440</v>
      </c>
      <c r="F20" s="41">
        <v>383.71</v>
      </c>
      <c r="G20" s="109">
        <v>0</v>
      </c>
      <c r="H20" s="43" t="s">
        <v>135</v>
      </c>
      <c r="I20" s="44">
        <v>21322580</v>
      </c>
      <c r="J20" s="50"/>
      <c r="K20" s="27"/>
      <c r="L20" s="27"/>
      <c r="M20" s="27"/>
    </row>
    <row r="21" spans="1:13" s="28" customFormat="1" ht="14.25" x14ac:dyDescent="0.3">
      <c r="A21" s="37" t="s">
        <v>139</v>
      </c>
      <c r="B21" s="38" t="s">
        <v>35</v>
      </c>
      <c r="C21" s="40">
        <v>43209</v>
      </c>
      <c r="D21" s="40">
        <v>43241</v>
      </c>
      <c r="E21" s="39">
        <v>39600</v>
      </c>
      <c r="F21" s="41">
        <v>389.03</v>
      </c>
      <c r="G21" s="109">
        <v>0</v>
      </c>
      <c r="H21" s="43" t="s">
        <v>135</v>
      </c>
      <c r="I21" s="44">
        <v>15471270</v>
      </c>
      <c r="J21" s="50"/>
      <c r="K21" s="27"/>
      <c r="L21" s="27"/>
      <c r="M21" s="27"/>
    </row>
    <row r="22" spans="1:13" s="28" customFormat="1" ht="14.25" x14ac:dyDescent="0.3">
      <c r="A22" s="37" t="s">
        <v>140</v>
      </c>
      <c r="B22" s="38" t="s">
        <v>37</v>
      </c>
      <c r="C22" s="40">
        <v>43209</v>
      </c>
      <c r="D22" s="40">
        <v>43237</v>
      </c>
      <c r="E22" s="39">
        <v>63690</v>
      </c>
      <c r="F22" s="41">
        <v>388.51</v>
      </c>
      <c r="G22" s="109">
        <v>0</v>
      </c>
      <c r="H22" s="43" t="s">
        <v>135</v>
      </c>
      <c r="I22" s="44">
        <v>24841480</v>
      </c>
      <c r="J22" s="50"/>
      <c r="K22" s="27"/>
      <c r="L22" s="27"/>
      <c r="M22" s="27"/>
    </row>
    <row r="23" spans="1:13" s="28" customFormat="1" ht="14.25" x14ac:dyDescent="0.3">
      <c r="A23" s="37" t="s">
        <v>141</v>
      </c>
      <c r="B23" s="38" t="s">
        <v>39</v>
      </c>
      <c r="C23" s="40">
        <v>43181</v>
      </c>
      <c r="D23" s="40">
        <v>43213</v>
      </c>
      <c r="E23" s="39">
        <v>64020</v>
      </c>
      <c r="F23" s="41">
        <v>382.92</v>
      </c>
      <c r="G23" s="109">
        <v>0</v>
      </c>
      <c r="H23" s="43" t="s">
        <v>135</v>
      </c>
      <c r="I23" s="44">
        <v>24577740</v>
      </c>
      <c r="J23" s="50"/>
      <c r="K23" s="27"/>
      <c r="L23" s="27"/>
      <c r="M23" s="27"/>
    </row>
    <row r="24" spans="1:13" s="28" customFormat="1" ht="14.25" x14ac:dyDescent="0.3">
      <c r="A24" s="37" t="s">
        <v>142</v>
      </c>
      <c r="B24" s="38" t="s">
        <v>41</v>
      </c>
      <c r="C24" s="40">
        <v>43209</v>
      </c>
      <c r="D24" s="40">
        <v>43241</v>
      </c>
      <c r="E24" s="39">
        <v>171600</v>
      </c>
      <c r="F24" s="41">
        <v>389.03</v>
      </c>
      <c r="G24" s="109">
        <v>0</v>
      </c>
      <c r="H24" s="43" t="s">
        <v>135</v>
      </c>
      <c r="I24" s="44">
        <v>67066600</v>
      </c>
      <c r="J24" s="50"/>
      <c r="K24" s="27"/>
      <c r="L24" s="27"/>
      <c r="M24" s="27"/>
    </row>
    <row r="25" spans="1:13" s="28" customFormat="1" ht="14.25" x14ac:dyDescent="0.3">
      <c r="A25" s="37" t="s">
        <v>143</v>
      </c>
      <c r="B25" s="38" t="s">
        <v>43</v>
      </c>
      <c r="C25" s="40">
        <v>43214</v>
      </c>
      <c r="D25" s="40">
        <v>43245</v>
      </c>
      <c r="E25" s="39">
        <v>32560</v>
      </c>
      <c r="F25" s="41">
        <v>26.84</v>
      </c>
      <c r="G25" s="109">
        <v>0</v>
      </c>
      <c r="H25" s="43" t="s">
        <v>135</v>
      </c>
      <c r="I25" s="44">
        <v>12849990</v>
      </c>
      <c r="J25" s="50"/>
      <c r="K25" s="27"/>
      <c r="L25" s="27"/>
      <c r="M25" s="27"/>
    </row>
    <row r="26" spans="1:13" s="28" customFormat="1" ht="14.25" x14ac:dyDescent="0.3">
      <c r="A26" s="37" t="s">
        <v>144</v>
      </c>
      <c r="B26" s="38" t="s">
        <v>45</v>
      </c>
      <c r="C26" s="40">
        <v>43207</v>
      </c>
      <c r="D26" s="40">
        <v>43238</v>
      </c>
      <c r="E26" s="39">
        <v>32560</v>
      </c>
      <c r="F26" s="41">
        <v>389.03</v>
      </c>
      <c r="G26" s="109">
        <v>0</v>
      </c>
      <c r="H26" s="43" t="s">
        <v>135</v>
      </c>
      <c r="I26" s="44">
        <v>14651440</v>
      </c>
      <c r="J26" s="47"/>
      <c r="K26" s="27"/>
      <c r="L26" s="27"/>
      <c r="M26" s="27"/>
    </row>
    <row r="27" spans="1:13" s="28" customFormat="1" ht="14.25" x14ac:dyDescent="0.3">
      <c r="A27" s="37" t="s">
        <v>145</v>
      </c>
      <c r="B27" s="38" t="s">
        <v>47</v>
      </c>
      <c r="C27" s="40">
        <v>43211</v>
      </c>
      <c r="D27" s="40">
        <v>43242</v>
      </c>
      <c r="E27" s="39">
        <v>115</v>
      </c>
      <c r="F27" s="41">
        <v>461.82</v>
      </c>
      <c r="G27" s="109">
        <v>0</v>
      </c>
      <c r="H27" s="43" t="s">
        <v>136</v>
      </c>
      <c r="I27" s="44">
        <v>90110</v>
      </c>
      <c r="J27" s="47"/>
      <c r="K27" s="27"/>
      <c r="L27" s="27"/>
      <c r="M27" s="27"/>
    </row>
    <row r="28" spans="1:13" s="28" customFormat="1" ht="14.25" x14ac:dyDescent="0.3">
      <c r="A28" s="37" t="s">
        <v>146</v>
      </c>
      <c r="B28" s="38" t="s">
        <v>49</v>
      </c>
      <c r="C28" s="40">
        <v>43207</v>
      </c>
      <c r="D28" s="40">
        <v>43238</v>
      </c>
      <c r="E28" s="39">
        <v>1557</v>
      </c>
      <c r="F28" s="41">
        <v>461.82</v>
      </c>
      <c r="G28" s="109">
        <v>0</v>
      </c>
      <c r="H28" s="43" t="s">
        <v>135</v>
      </c>
      <c r="I28" s="44">
        <v>719050</v>
      </c>
      <c r="J28" s="50"/>
      <c r="K28" s="27"/>
      <c r="L28" s="27"/>
      <c r="M28" s="27"/>
    </row>
    <row r="29" spans="1:13" s="28" customFormat="1" ht="14.25" x14ac:dyDescent="0.3">
      <c r="A29" s="37" t="s">
        <v>147</v>
      </c>
      <c r="B29" s="38" t="s">
        <v>51</v>
      </c>
      <c r="C29" s="40">
        <v>43204</v>
      </c>
      <c r="D29" s="40">
        <v>43236</v>
      </c>
      <c r="E29" s="39">
        <v>197</v>
      </c>
      <c r="F29" s="41">
        <v>461.82</v>
      </c>
      <c r="G29" s="109">
        <v>0</v>
      </c>
      <c r="H29" s="43" t="s">
        <v>135</v>
      </c>
      <c r="I29" s="44">
        <v>90980</v>
      </c>
      <c r="J29" s="50"/>
      <c r="K29" s="27"/>
      <c r="L29" s="27"/>
      <c r="M29" s="27"/>
    </row>
    <row r="30" spans="1:13" s="28" customFormat="1" ht="14.25" x14ac:dyDescent="0.3">
      <c r="A30" s="37" t="s">
        <v>148</v>
      </c>
      <c r="B30" s="38" t="s">
        <v>53</v>
      </c>
      <c r="C30" s="40">
        <v>43207</v>
      </c>
      <c r="D30" s="40">
        <v>43239</v>
      </c>
      <c r="E30" s="39">
        <v>6640</v>
      </c>
      <c r="F30" s="41">
        <v>461.82</v>
      </c>
      <c r="G30" s="109">
        <v>0</v>
      </c>
      <c r="H30" s="43" t="s">
        <v>135</v>
      </c>
      <c r="I30" s="44">
        <v>3066490</v>
      </c>
      <c r="J30" s="50"/>
      <c r="K30" s="27"/>
      <c r="L30" s="27"/>
      <c r="M30" s="27"/>
    </row>
    <row r="31" spans="1:13" s="28" customFormat="1" ht="14.25" x14ac:dyDescent="0.3">
      <c r="A31" s="37" t="s">
        <v>151</v>
      </c>
      <c r="B31" s="38" t="s">
        <v>59</v>
      </c>
      <c r="C31" s="40">
        <v>43214</v>
      </c>
      <c r="D31" s="40">
        <v>43244</v>
      </c>
      <c r="E31" s="39">
        <v>7200</v>
      </c>
      <c r="F31" s="41">
        <v>461.82</v>
      </c>
      <c r="G31" s="109">
        <v>0</v>
      </c>
      <c r="H31" s="43" t="s">
        <v>135</v>
      </c>
      <c r="I31" s="44">
        <v>3325110</v>
      </c>
      <c r="J31" s="50"/>
      <c r="K31" s="27"/>
      <c r="L31" s="27"/>
      <c r="M31" s="27"/>
    </row>
    <row r="32" spans="1:13" s="28" customFormat="1" ht="14.25" x14ac:dyDescent="0.3">
      <c r="A32" s="37" t="s">
        <v>152</v>
      </c>
      <c r="B32" s="38" t="s">
        <v>61</v>
      </c>
      <c r="C32" s="40">
        <v>43206</v>
      </c>
      <c r="D32" s="40">
        <v>43237</v>
      </c>
      <c r="E32" s="39">
        <v>24400</v>
      </c>
      <c r="F32" s="41">
        <v>461.82</v>
      </c>
      <c r="G32" s="109">
        <v>0</v>
      </c>
      <c r="H32" s="43" t="s">
        <v>135</v>
      </c>
      <c r="I32" s="44">
        <v>11268410</v>
      </c>
      <c r="J32" s="50"/>
      <c r="K32" s="27"/>
      <c r="L32" s="27"/>
      <c r="M32" s="27"/>
    </row>
    <row r="33" spans="1:13" s="28" customFormat="1" ht="14.25" x14ac:dyDescent="0.3">
      <c r="A33" s="37" t="s">
        <v>153</v>
      </c>
      <c r="B33" s="49" t="s">
        <v>63</v>
      </c>
      <c r="C33" s="40">
        <v>43207</v>
      </c>
      <c r="D33" s="40">
        <v>43239</v>
      </c>
      <c r="E33" s="39">
        <v>7280</v>
      </c>
      <c r="F33" s="41">
        <v>428.59</v>
      </c>
      <c r="G33" s="109">
        <v>0</v>
      </c>
      <c r="H33" s="43" t="s">
        <v>135</v>
      </c>
      <c r="I33" s="44">
        <v>3120130</v>
      </c>
      <c r="J33" s="50"/>
      <c r="K33" s="27"/>
      <c r="L33" s="27"/>
      <c r="M33" s="27"/>
    </row>
    <row r="34" spans="1:13" s="28" customFormat="1" ht="14.25" x14ac:dyDescent="0.3">
      <c r="A34" s="37" t="s">
        <v>154</v>
      </c>
      <c r="B34" s="38" t="s">
        <v>65</v>
      </c>
      <c r="C34" s="40">
        <v>43206</v>
      </c>
      <c r="D34" s="40">
        <v>43237</v>
      </c>
      <c r="E34" s="39">
        <v>2320</v>
      </c>
      <c r="F34" s="41">
        <v>461.82</v>
      </c>
      <c r="G34" s="109">
        <v>0</v>
      </c>
      <c r="H34" s="43" t="s">
        <v>135</v>
      </c>
      <c r="I34" s="44">
        <v>1071420</v>
      </c>
      <c r="J34" s="50"/>
      <c r="K34" s="27"/>
      <c r="L34" s="27"/>
      <c r="M34" s="27"/>
    </row>
    <row r="35" spans="1:13" s="28" customFormat="1" ht="14.25" x14ac:dyDescent="0.3">
      <c r="A35" s="37" t="s">
        <v>155</v>
      </c>
      <c r="B35" s="38" t="s">
        <v>67</v>
      </c>
      <c r="C35" s="40">
        <v>43195</v>
      </c>
      <c r="D35" s="40">
        <v>43225</v>
      </c>
      <c r="E35" s="39">
        <v>1100</v>
      </c>
      <c r="F35" s="41">
        <v>461.82</v>
      </c>
      <c r="G35" s="109">
        <v>0</v>
      </c>
      <c r="H35" s="43" t="s">
        <v>135</v>
      </c>
      <c r="I35" s="44">
        <v>508000</v>
      </c>
      <c r="J35" s="50"/>
      <c r="K35" s="27"/>
      <c r="L35" s="27"/>
      <c r="M35" s="27"/>
    </row>
    <row r="36" spans="1:13" s="28" customFormat="1" ht="14.25" x14ac:dyDescent="0.3">
      <c r="A36" s="37" t="s">
        <v>156</v>
      </c>
      <c r="B36" s="38" t="s">
        <v>69</v>
      </c>
      <c r="C36" s="40">
        <v>43207</v>
      </c>
      <c r="D36" s="40">
        <v>43239</v>
      </c>
      <c r="E36" s="39">
        <v>6320</v>
      </c>
      <c r="F36" s="41">
        <v>461.82</v>
      </c>
      <c r="G36" s="109">
        <v>0</v>
      </c>
      <c r="H36" s="43" t="s">
        <v>135</v>
      </c>
      <c r="I36" s="44">
        <v>2918700</v>
      </c>
      <c r="J36" s="50"/>
      <c r="K36" s="27"/>
      <c r="L36" s="27"/>
      <c r="M36" s="27"/>
    </row>
    <row r="37" spans="1:13" s="28" customFormat="1" ht="14.25" x14ac:dyDescent="0.3">
      <c r="A37" s="37" t="s">
        <v>157</v>
      </c>
      <c r="B37" s="38" t="s">
        <v>71</v>
      </c>
      <c r="C37" s="40">
        <v>43208</v>
      </c>
      <c r="D37" s="40">
        <v>43236</v>
      </c>
      <c r="E37" s="39">
        <v>2880</v>
      </c>
      <c r="F37" s="41">
        <v>428.59</v>
      </c>
      <c r="G37" s="109">
        <v>0</v>
      </c>
      <c r="H37" s="43" t="s">
        <v>135</v>
      </c>
      <c r="I37" s="44">
        <v>1234340</v>
      </c>
      <c r="J37" s="50"/>
      <c r="K37" s="27"/>
      <c r="L37" s="27"/>
      <c r="M37" s="27"/>
    </row>
    <row r="38" spans="1:13" s="28" customFormat="1" ht="14.25" x14ac:dyDescent="0.3">
      <c r="A38" s="37" t="s">
        <v>158</v>
      </c>
      <c r="B38" s="38" t="s">
        <v>73</v>
      </c>
      <c r="C38" s="40">
        <v>43210</v>
      </c>
      <c r="D38" s="40">
        <v>43242</v>
      </c>
      <c r="E38" s="39">
        <v>2372</v>
      </c>
      <c r="F38" s="41">
        <v>461.82</v>
      </c>
      <c r="G38" s="109">
        <v>0</v>
      </c>
      <c r="H38" s="43" t="s">
        <v>135</v>
      </c>
      <c r="I38" s="44">
        <v>1095430</v>
      </c>
      <c r="J38" s="50"/>
      <c r="K38" s="27"/>
      <c r="L38" s="27"/>
      <c r="M38" s="27"/>
    </row>
    <row r="39" spans="1:13" s="28" customFormat="1" ht="14.25" x14ac:dyDescent="0.3">
      <c r="A39" s="37" t="s">
        <v>180</v>
      </c>
      <c r="B39" s="38" t="s">
        <v>116</v>
      </c>
      <c r="C39" s="40">
        <v>43209</v>
      </c>
      <c r="D39" s="40">
        <v>43237</v>
      </c>
      <c r="E39" s="39">
        <v>9840</v>
      </c>
      <c r="F39" s="41">
        <v>461.82</v>
      </c>
      <c r="G39" s="109">
        <v>0</v>
      </c>
      <c r="H39" s="43" t="s">
        <v>135</v>
      </c>
      <c r="I39" s="44">
        <v>4544310</v>
      </c>
      <c r="J39" s="50"/>
      <c r="K39" s="27"/>
      <c r="L39" s="27"/>
      <c r="M39" s="27"/>
    </row>
    <row r="40" spans="1:13" s="28" customFormat="1" ht="14.25" x14ac:dyDescent="0.3">
      <c r="A40" s="37" t="s">
        <v>160</v>
      </c>
      <c r="B40" s="38" t="s">
        <v>77</v>
      </c>
      <c r="C40" s="40">
        <v>43214</v>
      </c>
      <c r="D40" s="40">
        <v>43244</v>
      </c>
      <c r="E40" s="39">
        <v>10080</v>
      </c>
      <c r="F40" s="41">
        <v>461.82</v>
      </c>
      <c r="G40" s="109">
        <v>0</v>
      </c>
      <c r="H40" s="43" t="s">
        <v>135</v>
      </c>
      <c r="I40" s="44">
        <v>4655150</v>
      </c>
      <c r="J40" s="50"/>
      <c r="K40" s="27"/>
      <c r="L40" s="27"/>
      <c r="M40" s="27"/>
    </row>
    <row r="41" spans="1:13" s="28" customFormat="1" ht="14.25" x14ac:dyDescent="0.3">
      <c r="A41" s="37" t="s">
        <v>161</v>
      </c>
      <c r="B41" s="38" t="s">
        <v>79</v>
      </c>
      <c r="C41" s="40">
        <v>43574</v>
      </c>
      <c r="D41" s="40">
        <v>43237</v>
      </c>
      <c r="E41" s="39">
        <v>7760</v>
      </c>
      <c r="F41" s="41">
        <v>428.59</v>
      </c>
      <c r="G41" s="109">
        <v>0</v>
      </c>
      <c r="H41" s="43" t="s">
        <v>135</v>
      </c>
      <c r="I41" s="44">
        <v>3325860</v>
      </c>
      <c r="J41" s="50"/>
      <c r="K41" s="27"/>
      <c r="L41" s="27"/>
      <c r="M41" s="27"/>
    </row>
    <row r="42" spans="1:13" s="28" customFormat="1" ht="14.25" x14ac:dyDescent="0.3">
      <c r="A42" s="59" t="s">
        <v>162</v>
      </c>
      <c r="B42" s="49" t="s">
        <v>81</v>
      </c>
      <c r="C42" s="40">
        <v>43199</v>
      </c>
      <c r="D42" s="40">
        <v>43230</v>
      </c>
      <c r="E42" s="39">
        <v>3533</v>
      </c>
      <c r="F42" s="41">
        <v>461.82</v>
      </c>
      <c r="G42" s="109">
        <v>0</v>
      </c>
      <c r="H42" s="43" t="s">
        <v>135</v>
      </c>
      <c r="I42" s="44">
        <v>1631610</v>
      </c>
      <c r="J42" s="50"/>
      <c r="K42" s="27"/>
      <c r="L42" s="27"/>
      <c r="M42" s="27"/>
    </row>
    <row r="43" spans="1:13" s="28" customFormat="1" ht="14.25" x14ac:dyDescent="0.3">
      <c r="A43" s="59" t="s">
        <v>163</v>
      </c>
      <c r="B43" s="49" t="s">
        <v>83</v>
      </c>
      <c r="C43" s="40">
        <v>43209</v>
      </c>
      <c r="D43" s="40">
        <v>43237</v>
      </c>
      <c r="E43" s="39">
        <v>8760</v>
      </c>
      <c r="F43" s="41">
        <v>428.59</v>
      </c>
      <c r="G43" s="109">
        <v>0</v>
      </c>
      <c r="H43" s="43" t="s">
        <v>135</v>
      </c>
      <c r="I43" s="44">
        <v>3754450</v>
      </c>
      <c r="J43" s="50"/>
      <c r="K43" s="27"/>
      <c r="L43" s="27"/>
      <c r="M43" s="27"/>
    </row>
    <row r="44" spans="1:13" s="28" customFormat="1" ht="14.25" x14ac:dyDescent="0.3">
      <c r="A44" s="37" t="s">
        <v>196</v>
      </c>
      <c r="B44" s="49" t="s">
        <v>85</v>
      </c>
      <c r="C44" s="40">
        <v>43213</v>
      </c>
      <c r="D44" s="40">
        <v>43244</v>
      </c>
      <c r="E44" s="39">
        <v>7600</v>
      </c>
      <c r="F44" s="41">
        <v>428.59</v>
      </c>
      <c r="G44" s="109">
        <v>0</v>
      </c>
      <c r="H44" s="43" t="s">
        <v>135</v>
      </c>
      <c r="I44" s="44">
        <v>3643580</v>
      </c>
      <c r="J44" s="50"/>
      <c r="K44" s="27"/>
      <c r="L44" s="27"/>
      <c r="M44" s="27"/>
    </row>
    <row r="45" spans="1:13" s="28" customFormat="1" ht="14.25" x14ac:dyDescent="0.3">
      <c r="A45" s="37" t="s">
        <v>166</v>
      </c>
      <c r="B45" s="38" t="s">
        <v>89</v>
      </c>
      <c r="C45" s="40">
        <v>43176</v>
      </c>
      <c r="D45" s="40">
        <v>43209</v>
      </c>
      <c r="E45" s="39">
        <v>13520</v>
      </c>
      <c r="F45" s="41">
        <v>454.88</v>
      </c>
      <c r="G45" s="109">
        <v>0</v>
      </c>
      <c r="H45" s="43" t="s">
        <v>135</v>
      </c>
      <c r="I45" s="44">
        <v>6149980</v>
      </c>
      <c r="J45" s="50"/>
      <c r="K45" s="27"/>
      <c r="L45" s="27"/>
      <c r="M45" s="27"/>
    </row>
    <row r="46" spans="1:13" s="28" customFormat="1" ht="14.25" x14ac:dyDescent="0.3">
      <c r="A46" s="37" t="s">
        <v>167</v>
      </c>
      <c r="B46" s="38" t="s">
        <v>91</v>
      </c>
      <c r="C46" s="40">
        <v>43213</v>
      </c>
      <c r="D46" s="40">
        <v>43244</v>
      </c>
      <c r="E46" s="39">
        <v>9040</v>
      </c>
      <c r="F46" s="41">
        <v>428.59</v>
      </c>
      <c r="G46" s="109">
        <v>0</v>
      </c>
      <c r="H46" s="43" t="s">
        <v>135</v>
      </c>
      <c r="I46" s="44">
        <v>3874450</v>
      </c>
      <c r="J46" s="50"/>
      <c r="K46" s="27"/>
      <c r="L46" s="27"/>
      <c r="M46" s="27"/>
    </row>
    <row r="47" spans="1:13" s="28" customFormat="1" ht="14.25" x14ac:dyDescent="0.3">
      <c r="A47" s="37" t="s">
        <v>168</v>
      </c>
      <c r="B47" s="38" t="s">
        <v>93</v>
      </c>
      <c r="C47" s="40">
        <v>43209</v>
      </c>
      <c r="D47" s="40">
        <v>43241</v>
      </c>
      <c r="E47" s="39">
        <v>4640</v>
      </c>
      <c r="F47" s="41">
        <v>428.59</v>
      </c>
      <c r="G47" s="109">
        <v>0</v>
      </c>
      <c r="H47" s="43" t="s">
        <v>135</v>
      </c>
      <c r="I47" s="44">
        <v>1988660</v>
      </c>
      <c r="J47" s="50"/>
      <c r="K47" s="27"/>
      <c r="L47" s="27"/>
      <c r="M47" s="27"/>
    </row>
    <row r="48" spans="1:13" s="28" customFormat="1" ht="14.25" x14ac:dyDescent="0.3">
      <c r="A48" s="37" t="s">
        <v>169</v>
      </c>
      <c r="B48" s="38" t="s">
        <v>95</v>
      </c>
      <c r="C48" s="40">
        <v>43214</v>
      </c>
      <c r="D48" s="40">
        <v>43245</v>
      </c>
      <c r="E48" s="39">
        <v>6640</v>
      </c>
      <c r="F48" s="41">
        <v>428.59</v>
      </c>
      <c r="G48" s="109">
        <v>0</v>
      </c>
      <c r="H48" s="43" t="s">
        <v>135</v>
      </c>
      <c r="I48" s="44">
        <v>3853670</v>
      </c>
      <c r="J48" s="50"/>
      <c r="K48" s="27"/>
      <c r="L48" s="27"/>
      <c r="M48" s="27"/>
    </row>
    <row r="49" spans="1:13" s="28" customFormat="1" ht="14.25" x14ac:dyDescent="0.3">
      <c r="A49" s="37" t="s">
        <v>170</v>
      </c>
      <c r="B49" s="38" t="s">
        <v>97</v>
      </c>
      <c r="C49" s="40" t="s">
        <v>171</v>
      </c>
      <c r="D49" s="40" t="s">
        <v>171</v>
      </c>
      <c r="E49" s="39">
        <v>0</v>
      </c>
      <c r="F49" s="39">
        <v>0</v>
      </c>
      <c r="G49" s="39">
        <v>0</v>
      </c>
      <c r="H49" s="40" t="s">
        <v>171</v>
      </c>
      <c r="I49" s="44">
        <v>0</v>
      </c>
      <c r="J49" s="50"/>
      <c r="K49" s="27"/>
      <c r="L49" s="27"/>
      <c r="M49" s="27"/>
    </row>
    <row r="50" spans="1:13" s="28" customFormat="1" ht="14.25" x14ac:dyDescent="0.3">
      <c r="A50" s="37" t="s">
        <v>172</v>
      </c>
      <c r="B50" s="49" t="s">
        <v>100</v>
      </c>
      <c r="C50" s="40">
        <v>43209</v>
      </c>
      <c r="D50" s="40">
        <v>43241</v>
      </c>
      <c r="E50" s="39">
        <v>6560</v>
      </c>
      <c r="F50" s="41">
        <v>428.59</v>
      </c>
      <c r="G50" s="109">
        <v>0</v>
      </c>
      <c r="H50" s="61" t="s">
        <v>135</v>
      </c>
      <c r="I50" s="44">
        <v>2811550</v>
      </c>
      <c r="J50" s="50"/>
      <c r="K50" s="27"/>
      <c r="L50" s="27"/>
      <c r="M50" s="27"/>
    </row>
    <row r="51" spans="1:13" s="28" customFormat="1" ht="14.25" x14ac:dyDescent="0.3">
      <c r="A51" s="37" t="s">
        <v>173</v>
      </c>
      <c r="B51" s="38" t="s">
        <v>102</v>
      </c>
      <c r="C51" s="40">
        <v>43204</v>
      </c>
      <c r="D51" s="40">
        <v>43232</v>
      </c>
      <c r="E51" s="39">
        <v>2197</v>
      </c>
      <c r="F51" s="41">
        <v>461.82</v>
      </c>
      <c r="G51" s="109">
        <v>0</v>
      </c>
      <c r="H51" s="43" t="s">
        <v>135</v>
      </c>
      <c r="I51" s="44">
        <v>1014620</v>
      </c>
      <c r="J51" s="50"/>
      <c r="K51" s="27"/>
      <c r="L51" s="27"/>
      <c r="M51" s="27"/>
    </row>
    <row r="52" spans="1:13" s="28" customFormat="1" ht="14.25" x14ac:dyDescent="0.3">
      <c r="A52" s="37" t="s">
        <v>174</v>
      </c>
      <c r="B52" s="38" t="s">
        <v>104</v>
      </c>
      <c r="C52" s="40">
        <v>43209</v>
      </c>
      <c r="D52" s="40">
        <v>43241</v>
      </c>
      <c r="E52" s="39">
        <v>6080</v>
      </c>
      <c r="F52" s="41">
        <v>461.82</v>
      </c>
      <c r="G52" s="109">
        <v>0</v>
      </c>
      <c r="H52" s="43" t="s">
        <v>135</v>
      </c>
      <c r="I52" s="44">
        <v>2807870</v>
      </c>
      <c r="J52" s="50"/>
      <c r="K52" s="27"/>
      <c r="L52" s="27"/>
      <c r="M52" s="27"/>
    </row>
    <row r="53" spans="1:13" s="28" customFormat="1" ht="14.25" x14ac:dyDescent="0.3">
      <c r="A53" s="37" t="s">
        <v>175</v>
      </c>
      <c r="B53" s="38" t="s">
        <v>106</v>
      </c>
      <c r="C53" s="40">
        <v>43207</v>
      </c>
      <c r="D53" s="40">
        <v>43238</v>
      </c>
      <c r="E53" s="39">
        <v>2146</v>
      </c>
      <c r="F53" s="41">
        <v>461.82</v>
      </c>
      <c r="G53" s="109">
        <v>0</v>
      </c>
      <c r="H53" s="43" t="s">
        <v>135</v>
      </c>
      <c r="I53" s="44">
        <v>991060</v>
      </c>
      <c r="J53" s="50"/>
      <c r="K53" s="27"/>
      <c r="L53" s="27"/>
      <c r="M53" s="27"/>
    </row>
    <row r="54" spans="1:13" s="28" customFormat="1" ht="14.25" x14ac:dyDescent="0.3">
      <c r="A54" s="37" t="s">
        <v>176</v>
      </c>
      <c r="B54" s="38" t="s">
        <v>108</v>
      </c>
      <c r="C54" s="40">
        <v>43210</v>
      </c>
      <c r="D54" s="40">
        <v>43242</v>
      </c>
      <c r="E54" s="39">
        <v>4484</v>
      </c>
      <c r="F54" s="41">
        <v>428.59</v>
      </c>
      <c r="G54" s="109">
        <v>0</v>
      </c>
      <c r="H54" s="43" t="s">
        <v>135</v>
      </c>
      <c r="I54" s="44">
        <v>1933810</v>
      </c>
      <c r="J54" s="50"/>
      <c r="K54" s="27"/>
      <c r="L54" s="27"/>
      <c r="M54" s="27"/>
    </row>
    <row r="55" spans="1:13" s="28" customFormat="1" ht="14.25" x14ac:dyDescent="0.3">
      <c r="A55" s="37" t="s">
        <v>177</v>
      </c>
      <c r="B55" s="38" t="s">
        <v>110</v>
      </c>
      <c r="C55" s="40">
        <v>43209</v>
      </c>
      <c r="D55" s="40">
        <v>43241</v>
      </c>
      <c r="E55" s="39">
        <v>8480</v>
      </c>
      <c r="F55" s="41">
        <v>428.59</v>
      </c>
      <c r="G55" s="109">
        <v>0</v>
      </c>
      <c r="H55" s="43" t="s">
        <v>135</v>
      </c>
      <c r="I55" s="44">
        <v>3634440</v>
      </c>
      <c r="J55" s="50"/>
      <c r="K55" s="27"/>
      <c r="L55" s="27"/>
      <c r="M55" s="27"/>
    </row>
    <row r="56" spans="1:13" s="27" customFormat="1" ht="14.25" x14ac:dyDescent="0.3">
      <c r="A56" s="37" t="s">
        <v>178</v>
      </c>
      <c r="B56" s="38" t="s">
        <v>112</v>
      </c>
      <c r="C56" s="40">
        <v>43211</v>
      </c>
      <c r="D56" s="40">
        <v>43243</v>
      </c>
      <c r="E56" s="39">
        <v>1346</v>
      </c>
      <c r="F56" s="41">
        <v>461.82</v>
      </c>
      <c r="G56" s="109">
        <v>0</v>
      </c>
      <c r="H56" s="43" t="s">
        <v>135</v>
      </c>
      <c r="I56" s="44">
        <v>621610</v>
      </c>
      <c r="J56" s="50"/>
    </row>
    <row r="57" spans="1:13" s="27" customFormat="1" ht="14.25" x14ac:dyDescent="0.3">
      <c r="A57" s="37" t="s">
        <v>179</v>
      </c>
      <c r="B57" s="38" t="s">
        <v>114</v>
      </c>
      <c r="C57" s="40">
        <v>43214</v>
      </c>
      <c r="D57" s="40">
        <v>43245</v>
      </c>
      <c r="E57" s="39">
        <v>7600</v>
      </c>
      <c r="F57" s="41">
        <v>428.59</v>
      </c>
      <c r="G57" s="109">
        <v>0</v>
      </c>
      <c r="H57" s="43" t="s">
        <v>135</v>
      </c>
      <c r="I57" s="44">
        <v>3257280</v>
      </c>
      <c r="J57" s="50"/>
    </row>
    <row r="58" spans="1:13" s="27" customFormat="1" ht="14.25" x14ac:dyDescent="0.3">
      <c r="A58" s="319" t="s">
        <v>198</v>
      </c>
      <c r="B58" s="319" t="s">
        <v>4</v>
      </c>
      <c r="C58" s="319" t="s">
        <v>6</v>
      </c>
      <c r="D58" s="319"/>
      <c r="E58" s="36" t="s">
        <v>7</v>
      </c>
      <c r="F58" s="36" t="s">
        <v>132</v>
      </c>
      <c r="G58" s="319" t="s">
        <v>133</v>
      </c>
      <c r="H58" s="319" t="s">
        <v>134</v>
      </c>
      <c r="I58" s="320" t="s">
        <v>11</v>
      </c>
      <c r="J58" s="50"/>
    </row>
    <row r="59" spans="1:13" s="27" customFormat="1" ht="14.25" x14ac:dyDescent="0.3">
      <c r="A59" s="319"/>
      <c r="B59" s="319"/>
      <c r="C59" s="36" t="s">
        <v>15</v>
      </c>
      <c r="D59" s="36" t="s">
        <v>16</v>
      </c>
      <c r="E59" s="36" t="s">
        <v>17</v>
      </c>
      <c r="F59" s="36" t="s">
        <v>17</v>
      </c>
      <c r="G59" s="319"/>
      <c r="H59" s="319"/>
      <c r="I59" s="320"/>
      <c r="J59" s="50"/>
    </row>
    <row r="60" spans="1:13" s="27" customFormat="1" ht="14.25" x14ac:dyDescent="0.3">
      <c r="A60" s="37" t="s">
        <v>159</v>
      </c>
      <c r="B60" s="38" t="s">
        <v>75</v>
      </c>
      <c r="C60" s="40" t="s">
        <v>171</v>
      </c>
      <c r="D60" s="39">
        <v>0</v>
      </c>
      <c r="E60" s="39">
        <v>0</v>
      </c>
      <c r="F60" s="39">
        <v>0</v>
      </c>
      <c r="G60" s="40" t="s">
        <v>171</v>
      </c>
      <c r="H60" s="40" t="s">
        <v>171</v>
      </c>
      <c r="I60" s="44">
        <v>0</v>
      </c>
      <c r="J60" s="50"/>
    </row>
    <row r="61" spans="1:13" s="27" customFormat="1" ht="14.25" x14ac:dyDescent="0.3">
      <c r="A61" s="37" t="s">
        <v>149</v>
      </c>
      <c r="B61" s="38" t="s">
        <v>55</v>
      </c>
      <c r="C61" s="40">
        <v>43209</v>
      </c>
      <c r="D61" s="40">
        <v>43240</v>
      </c>
      <c r="E61" s="39">
        <v>66</v>
      </c>
      <c r="F61" s="41">
        <v>461.82</v>
      </c>
      <c r="G61" s="109">
        <v>0</v>
      </c>
      <c r="H61" s="43" t="s">
        <v>135</v>
      </c>
      <c r="I61" s="44">
        <v>30480</v>
      </c>
      <c r="J61" s="50"/>
    </row>
    <row r="62" spans="1:13" s="27" customFormat="1" ht="14.25" x14ac:dyDescent="0.3">
      <c r="A62" s="37" t="s">
        <v>150</v>
      </c>
      <c r="B62" s="38" t="s">
        <v>57</v>
      </c>
      <c r="C62" s="40">
        <v>43209</v>
      </c>
      <c r="D62" s="40">
        <v>43240</v>
      </c>
      <c r="E62" s="39">
        <v>1</v>
      </c>
      <c r="F62" s="41">
        <v>461.82</v>
      </c>
      <c r="G62" s="109">
        <v>0</v>
      </c>
      <c r="H62" s="43" t="s">
        <v>135</v>
      </c>
      <c r="I62" s="44">
        <v>470</v>
      </c>
      <c r="J62" s="50"/>
    </row>
    <row r="63" spans="1:13" s="27" customFormat="1" ht="14.25" x14ac:dyDescent="0.3">
      <c r="A63" s="37" t="s">
        <v>165</v>
      </c>
      <c r="B63" s="49" t="s">
        <v>87</v>
      </c>
      <c r="C63" s="40">
        <v>43209</v>
      </c>
      <c r="D63" s="40">
        <v>43241</v>
      </c>
      <c r="E63" s="39">
        <v>0</v>
      </c>
      <c r="F63" s="41">
        <v>0</v>
      </c>
      <c r="G63" s="109">
        <v>0</v>
      </c>
      <c r="H63" s="43" t="s">
        <v>136</v>
      </c>
      <c r="I63" s="44">
        <v>0</v>
      </c>
      <c r="J63" s="50"/>
    </row>
    <row r="64" spans="1:13" s="27" customFormat="1" ht="14.25" x14ac:dyDescent="0.3">
      <c r="A64" s="319" t="s">
        <v>216</v>
      </c>
      <c r="B64" s="319" t="s">
        <v>4</v>
      </c>
      <c r="C64" s="319" t="s">
        <v>6</v>
      </c>
      <c r="D64" s="319"/>
      <c r="E64" s="36" t="s">
        <v>7</v>
      </c>
      <c r="F64" s="36" t="s">
        <v>132</v>
      </c>
      <c r="G64" s="319" t="s">
        <v>133</v>
      </c>
      <c r="H64" s="319" t="s">
        <v>134</v>
      </c>
      <c r="I64" s="320" t="s">
        <v>11</v>
      </c>
      <c r="J64" s="50"/>
    </row>
    <row r="65" spans="1:11" s="27" customFormat="1" ht="14.25" x14ac:dyDescent="0.3">
      <c r="A65" s="319"/>
      <c r="B65" s="319"/>
      <c r="C65" s="36" t="s">
        <v>15</v>
      </c>
      <c r="D65" s="36" t="s">
        <v>16</v>
      </c>
      <c r="E65" s="36" t="s">
        <v>17</v>
      </c>
      <c r="F65" s="36" t="s">
        <v>17</v>
      </c>
      <c r="G65" s="319"/>
      <c r="H65" s="319"/>
      <c r="I65" s="320"/>
      <c r="J65" s="50"/>
    </row>
    <row r="66" spans="1:11" s="27" customFormat="1" ht="14.25" x14ac:dyDescent="0.3">
      <c r="A66" s="37" t="s">
        <v>217</v>
      </c>
      <c r="B66" s="38" t="s">
        <v>218</v>
      </c>
      <c r="C66" s="40">
        <v>43125</v>
      </c>
      <c r="D66" s="40">
        <v>43155</v>
      </c>
      <c r="E66" s="39">
        <v>400</v>
      </c>
      <c r="F66" s="41">
        <v>398.13</v>
      </c>
      <c r="G66" s="109">
        <v>0</v>
      </c>
      <c r="H66" s="40" t="s">
        <v>135</v>
      </c>
      <c r="I66" s="44">
        <v>459890</v>
      </c>
      <c r="J66" s="50"/>
    </row>
    <row r="67" spans="1:11" s="27" customFormat="1" ht="14.25" x14ac:dyDescent="0.3">
      <c r="A67" s="37" t="s">
        <v>217</v>
      </c>
      <c r="B67" s="38" t="s">
        <v>218</v>
      </c>
      <c r="C67" s="40">
        <v>43155</v>
      </c>
      <c r="D67" s="40">
        <v>43181</v>
      </c>
      <c r="E67" s="39">
        <v>5720</v>
      </c>
      <c r="F67" s="41">
        <v>349.57</v>
      </c>
      <c r="G67" s="109">
        <v>0</v>
      </c>
      <c r="H67" s="40" t="s">
        <v>135</v>
      </c>
      <c r="I67" s="44">
        <v>3979660</v>
      </c>
      <c r="J67" s="50"/>
    </row>
    <row r="68" spans="1:11" s="27" customFormat="1" ht="14.25" x14ac:dyDescent="0.3">
      <c r="A68" s="37" t="s">
        <v>217</v>
      </c>
      <c r="B68" s="38" t="s">
        <v>218</v>
      </c>
      <c r="C68" s="40">
        <v>43181</v>
      </c>
      <c r="D68" s="40">
        <v>43214</v>
      </c>
      <c r="E68" s="39">
        <f>3080+880</f>
        <v>3960</v>
      </c>
      <c r="F68" s="41">
        <v>388.14</v>
      </c>
      <c r="G68" s="109">
        <v>0</v>
      </c>
      <c r="H68" s="40" t="s">
        <v>135</v>
      </c>
      <c r="I68" s="44">
        <v>2741750</v>
      </c>
      <c r="J68" s="50"/>
    </row>
    <row r="69" spans="1:11" s="27" customFormat="1" ht="14.25" x14ac:dyDescent="0.3">
      <c r="A69" s="37" t="s">
        <v>217</v>
      </c>
      <c r="B69" s="38" t="s">
        <v>218</v>
      </c>
      <c r="C69" s="40">
        <v>43214</v>
      </c>
      <c r="D69" s="40">
        <v>43244</v>
      </c>
      <c r="E69" s="39">
        <v>440</v>
      </c>
      <c r="F69" s="41">
        <v>389.03</v>
      </c>
      <c r="G69" s="109">
        <v>71649.899999999994</v>
      </c>
      <c r="H69" s="40" t="s">
        <v>135</v>
      </c>
      <c r="I69" s="44">
        <v>1620050</v>
      </c>
      <c r="J69" s="50"/>
    </row>
    <row r="70" spans="1:11" s="27" customFormat="1" ht="15" customHeight="1" x14ac:dyDescent="0.3">
      <c r="A70" s="62"/>
      <c r="B70" s="63"/>
      <c r="C70" s="65"/>
      <c r="D70" s="65"/>
      <c r="E70" s="103"/>
      <c r="F70" s="103"/>
      <c r="G70" s="113"/>
      <c r="H70" s="68"/>
      <c r="I70" s="105"/>
      <c r="J70" s="26"/>
    </row>
    <row r="71" spans="1:11" s="27" customFormat="1" ht="15" customHeight="1" x14ac:dyDescent="0.3">
      <c r="A71" s="340" t="s">
        <v>219</v>
      </c>
      <c r="B71" s="340"/>
      <c r="C71" s="340"/>
      <c r="D71" s="340"/>
      <c r="E71" s="340"/>
      <c r="F71" s="342" t="s">
        <v>200</v>
      </c>
      <c r="G71" s="342"/>
      <c r="H71" s="342"/>
      <c r="I71" s="106">
        <f>SUM(I9:I57)</f>
        <v>341404850</v>
      </c>
      <c r="J71" s="26"/>
    </row>
    <row r="72" spans="1:11" s="27" customFormat="1" ht="15" customHeight="1" x14ac:dyDescent="0.3">
      <c r="A72" s="340"/>
      <c r="B72" s="340"/>
      <c r="C72" s="340"/>
      <c r="D72" s="340"/>
      <c r="E72" s="340"/>
      <c r="F72" s="342" t="s">
        <v>201</v>
      </c>
      <c r="G72" s="342"/>
      <c r="H72" s="342"/>
      <c r="I72" s="106">
        <f>SUM(I60:I63)</f>
        <v>30950</v>
      </c>
      <c r="J72" s="26"/>
    </row>
    <row r="73" spans="1:11" s="27" customFormat="1" ht="15" customHeight="1" x14ac:dyDescent="0.3">
      <c r="A73" s="340"/>
      <c r="B73" s="340"/>
      <c r="C73" s="340"/>
      <c r="D73" s="340"/>
      <c r="E73" s="340"/>
      <c r="F73" s="342" t="s">
        <v>220</v>
      </c>
      <c r="G73" s="342"/>
      <c r="H73" s="342"/>
      <c r="I73" s="106">
        <f>SUM(I66:I69)</f>
        <v>8801350</v>
      </c>
      <c r="J73" s="26"/>
    </row>
    <row r="74" spans="1:11" s="27" customFormat="1" ht="15" customHeight="1" x14ac:dyDescent="0.3">
      <c r="A74" s="341"/>
      <c r="B74" s="341"/>
      <c r="C74" s="341"/>
      <c r="D74" s="341"/>
      <c r="E74" s="341"/>
      <c r="F74" s="343" t="s">
        <v>203</v>
      </c>
      <c r="G74" s="343"/>
      <c r="H74" s="343"/>
      <c r="I74" s="107">
        <f>SUM(I71:I73)</f>
        <v>350237150</v>
      </c>
      <c r="J74" s="26"/>
    </row>
    <row r="75" spans="1:11" s="27" customFormat="1" ht="15" customHeight="1" x14ac:dyDescent="0.3">
      <c r="B75" s="70"/>
      <c r="C75" s="70"/>
      <c r="D75" s="71"/>
      <c r="E75" s="72"/>
      <c r="J75" s="26"/>
    </row>
    <row r="76" spans="1:11" s="27" customFormat="1" ht="15" customHeight="1" x14ac:dyDescent="0.3">
      <c r="B76" s="70"/>
      <c r="C76" s="72"/>
      <c r="D76" s="72"/>
      <c r="E76" s="77"/>
      <c r="F76" s="77"/>
      <c r="J76" s="79"/>
      <c r="K76" s="80"/>
    </row>
    <row r="77" spans="1:11" s="27" customFormat="1" ht="14.25" x14ac:dyDescent="0.3">
      <c r="A77" s="27" t="s">
        <v>185</v>
      </c>
      <c r="B77" s="70"/>
      <c r="C77" s="72"/>
      <c r="D77" s="72"/>
      <c r="E77" s="81"/>
      <c r="F77" s="81"/>
      <c r="J77" s="79"/>
      <c r="K77" s="80"/>
    </row>
    <row r="78" spans="1:11" s="27" customFormat="1" ht="14.25" x14ac:dyDescent="0.3">
      <c r="A78" s="83" t="s">
        <v>186</v>
      </c>
      <c r="B78" s="84"/>
      <c r="C78" s="84"/>
      <c r="D78" s="85"/>
      <c r="E78" s="85"/>
      <c r="F78" s="85"/>
      <c r="G78" s="114"/>
      <c r="H78" s="85"/>
      <c r="I78" s="85"/>
      <c r="J78" s="79"/>
      <c r="K78" s="80"/>
    </row>
    <row r="79" spans="1:11" s="27" customFormat="1" ht="14.25" x14ac:dyDescent="0.3">
      <c r="A79" s="86" t="s">
        <v>187</v>
      </c>
      <c r="B79" s="84"/>
      <c r="C79" s="84"/>
      <c r="D79" s="85"/>
      <c r="E79" s="85"/>
      <c r="F79" s="85"/>
      <c r="G79" s="114"/>
      <c r="H79" s="85"/>
      <c r="I79" s="85"/>
      <c r="J79" s="79"/>
      <c r="K79" s="80"/>
    </row>
    <row r="80" spans="1:11" s="27" customFormat="1" ht="14.25" x14ac:dyDescent="0.3">
      <c r="A80" s="80"/>
      <c r="B80" s="80"/>
      <c r="C80" s="80"/>
      <c r="D80" s="80"/>
      <c r="E80" s="80"/>
      <c r="F80" s="80"/>
      <c r="G80" s="34"/>
      <c r="H80" s="80"/>
      <c r="I80" s="80"/>
      <c r="J80" s="26"/>
    </row>
    <row r="81" spans="1:10" s="27" customFormat="1" ht="14.25" x14ac:dyDescent="0.3">
      <c r="A81" s="80"/>
      <c r="B81" s="80"/>
      <c r="C81" s="80"/>
      <c r="D81" s="80"/>
      <c r="E81" s="80"/>
      <c r="F81" s="80"/>
      <c r="G81" s="34"/>
      <c r="H81" s="80"/>
      <c r="I81" s="80"/>
      <c r="J81" s="26"/>
    </row>
    <row r="82" spans="1:10" s="27" customFormat="1" ht="14.25" x14ac:dyDescent="0.3">
      <c r="A82" s="80"/>
      <c r="B82" s="80"/>
      <c r="C82" s="80"/>
      <c r="D82" s="80"/>
      <c r="E82" s="80"/>
      <c r="F82" s="80"/>
      <c r="G82" s="34"/>
      <c r="H82" s="80"/>
      <c r="I82" s="80"/>
      <c r="J82" s="26"/>
    </row>
    <row r="83" spans="1:10" s="27" customFormat="1" ht="14.25" x14ac:dyDescent="0.3">
      <c r="A83" s="80"/>
      <c r="B83" s="80"/>
      <c r="C83" s="80"/>
      <c r="D83" s="80"/>
      <c r="E83" s="80"/>
      <c r="F83" s="80"/>
      <c r="G83" s="34"/>
      <c r="H83" s="80"/>
      <c r="I83" s="80"/>
      <c r="J83" s="26"/>
    </row>
    <row r="84" spans="1:10" s="27" customFormat="1" ht="14.25" x14ac:dyDescent="0.3">
      <c r="A84" s="80"/>
      <c r="B84" s="80"/>
      <c r="C84" s="80"/>
      <c r="D84" s="80"/>
      <c r="E84" s="80"/>
      <c r="F84" s="80"/>
      <c r="G84" s="34"/>
      <c r="H84" s="80"/>
      <c r="I84" s="80"/>
      <c r="J84" s="26"/>
    </row>
  </sheetData>
  <mergeCells count="32">
    <mergeCell ref="I64:I65"/>
    <mergeCell ref="A71:E74"/>
    <mergeCell ref="F71:H71"/>
    <mergeCell ref="F72:H72"/>
    <mergeCell ref="F73:H73"/>
    <mergeCell ref="F74:H74"/>
    <mergeCell ref="A64:A65"/>
    <mergeCell ref="B64:B65"/>
    <mergeCell ref="C64:D64"/>
    <mergeCell ref="G64:G65"/>
    <mergeCell ref="H64:H65"/>
    <mergeCell ref="I7:I8"/>
    <mergeCell ref="J7:J8"/>
    <mergeCell ref="A58:A59"/>
    <mergeCell ref="B58:B59"/>
    <mergeCell ref="C58:D58"/>
    <mergeCell ref="G58:G59"/>
    <mergeCell ref="H58:H59"/>
    <mergeCell ref="I58:I59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81"/>
  <sheetViews>
    <sheetView topLeftCell="A4" workbookViewId="0">
      <selection activeCell="B33" sqref="B33"/>
    </sheetView>
  </sheetViews>
  <sheetFormatPr baseColWidth="10" defaultRowHeight="15" x14ac:dyDescent="0.25"/>
  <cols>
    <col min="1" max="1" width="32" customWidth="1"/>
    <col min="2" max="2" width="28.42578125" customWidth="1"/>
    <col min="3" max="6" width="15.140625" customWidth="1"/>
    <col min="7" max="7" width="18.140625" customWidth="1"/>
    <col min="8" max="8" width="17" customWidth="1"/>
    <col min="9" max="9" width="18" customWidth="1"/>
    <col min="10" max="10" width="26.42578125" customWidth="1"/>
    <col min="11" max="11" width="37.5703125" bestFit="1" customWidth="1"/>
  </cols>
  <sheetData>
    <row r="1" spans="1:15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71"/>
      <c r="K1" s="27"/>
      <c r="L1" s="27"/>
      <c r="M1" s="27"/>
      <c r="N1" s="27"/>
      <c r="O1" s="27"/>
    </row>
    <row r="2" spans="1:15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71"/>
      <c r="K2" s="29"/>
    </row>
    <row r="3" spans="1:15" s="27" customFormat="1" ht="14.25" x14ac:dyDescent="0.3">
      <c r="C3" s="332" t="s">
        <v>204</v>
      </c>
      <c r="D3" s="332"/>
      <c r="E3" s="87" t="s">
        <v>121</v>
      </c>
      <c r="F3" s="333" t="s">
        <v>221</v>
      </c>
      <c r="G3" s="334"/>
      <c r="H3" s="334"/>
      <c r="I3" s="335"/>
      <c r="J3" s="71"/>
      <c r="L3" s="31"/>
    </row>
    <row r="4" spans="1:15" s="27" customFormat="1" ht="14.25" x14ac:dyDescent="0.3">
      <c r="C4" s="336" t="s">
        <v>222</v>
      </c>
      <c r="D4" s="336"/>
      <c r="E4" s="326" t="s">
        <v>125</v>
      </c>
      <c r="F4" s="87" t="s">
        <v>190</v>
      </c>
      <c r="G4" s="332" t="s">
        <v>223</v>
      </c>
      <c r="H4" s="332"/>
      <c r="I4" s="332"/>
      <c r="J4" s="71"/>
    </row>
    <row r="5" spans="1:15" s="27" customFormat="1" ht="14.25" x14ac:dyDescent="0.3">
      <c r="C5" s="337" t="s">
        <v>208</v>
      </c>
      <c r="D5" s="338"/>
      <c r="E5" s="326"/>
      <c r="F5" s="108" t="s">
        <v>192</v>
      </c>
      <c r="G5" s="339" t="s">
        <v>224</v>
      </c>
      <c r="H5" s="339"/>
      <c r="I5" s="339"/>
      <c r="J5" s="71"/>
    </row>
    <row r="6" spans="1:15" s="27" customFormat="1" ht="14.25" x14ac:dyDescent="0.3">
      <c r="B6" s="34"/>
      <c r="C6" s="34"/>
      <c r="D6" s="35"/>
      <c r="G6" s="71"/>
      <c r="H6" s="34"/>
      <c r="I6" s="26"/>
      <c r="J6" s="71"/>
    </row>
    <row r="7" spans="1:15" s="28" customFormat="1" ht="15" customHeight="1" x14ac:dyDescent="0.3">
      <c r="A7" s="319" t="s">
        <v>225</v>
      </c>
      <c r="B7" s="319" t="s">
        <v>226</v>
      </c>
      <c r="C7" s="319" t="s">
        <v>6</v>
      </c>
      <c r="D7" s="319"/>
      <c r="E7" s="36" t="s">
        <v>7</v>
      </c>
      <c r="F7" s="36" t="s">
        <v>132</v>
      </c>
      <c r="G7" s="319" t="s">
        <v>133</v>
      </c>
      <c r="H7" s="319" t="s">
        <v>134</v>
      </c>
      <c r="I7" s="320" t="s">
        <v>11</v>
      </c>
      <c r="J7" s="344"/>
      <c r="K7" s="71"/>
      <c r="L7" s="27"/>
      <c r="M7" s="27"/>
      <c r="N7" s="27"/>
      <c r="O7" s="27"/>
    </row>
    <row r="8" spans="1:15" s="28" customFormat="1" ht="14.25" x14ac:dyDescent="0.3">
      <c r="A8" s="319"/>
      <c r="B8" s="319"/>
      <c r="C8" s="36" t="s">
        <v>15</v>
      </c>
      <c r="D8" s="36" t="s">
        <v>16</v>
      </c>
      <c r="E8" s="36" t="s">
        <v>17</v>
      </c>
      <c r="F8" s="36" t="s">
        <v>17</v>
      </c>
      <c r="G8" s="319"/>
      <c r="H8" s="319"/>
      <c r="I8" s="320"/>
      <c r="J8" s="344"/>
      <c r="K8" s="27"/>
      <c r="L8" s="27"/>
      <c r="M8" s="27"/>
      <c r="N8" s="27"/>
      <c r="O8" s="27"/>
    </row>
    <row r="9" spans="1:15" s="28" customFormat="1" ht="14.25" x14ac:dyDescent="0.3">
      <c r="A9" s="37" t="s">
        <v>18</v>
      </c>
      <c r="B9" s="38" t="s">
        <v>19</v>
      </c>
      <c r="C9" s="40">
        <v>43235</v>
      </c>
      <c r="D9" s="40">
        <v>43265</v>
      </c>
      <c r="E9" s="39">
        <v>93120</v>
      </c>
      <c r="F9" s="41">
        <v>377.78</v>
      </c>
      <c r="G9" s="109">
        <v>0</v>
      </c>
      <c r="H9" s="43" t="s">
        <v>135</v>
      </c>
      <c r="I9" s="44">
        <v>34558870</v>
      </c>
      <c r="J9" s="115"/>
      <c r="K9" s="27"/>
      <c r="L9" s="27"/>
      <c r="M9" s="27"/>
      <c r="N9" s="27"/>
      <c r="O9" s="27"/>
    </row>
    <row r="10" spans="1:15" s="28" customFormat="1" ht="14.25" x14ac:dyDescent="0.3">
      <c r="A10" s="116" t="s">
        <v>20</v>
      </c>
      <c r="B10" s="117" t="s">
        <v>19</v>
      </c>
      <c r="C10" s="119" t="s">
        <v>171</v>
      </c>
      <c r="D10" s="119" t="s">
        <v>171</v>
      </c>
      <c r="E10" s="118">
        <v>0</v>
      </c>
      <c r="F10" s="118">
        <v>0</v>
      </c>
      <c r="G10" s="120">
        <v>0</v>
      </c>
      <c r="H10" s="119" t="s">
        <v>171</v>
      </c>
      <c r="I10" s="121">
        <v>0</v>
      </c>
      <c r="J10" s="122"/>
      <c r="K10" s="123"/>
      <c r="L10" s="27"/>
      <c r="M10" s="27"/>
      <c r="N10" s="27"/>
      <c r="O10" s="27"/>
    </row>
    <row r="11" spans="1:15" s="28" customFormat="1" ht="14.25" x14ac:dyDescent="0.3">
      <c r="A11" s="37" t="s">
        <v>21</v>
      </c>
      <c r="B11" s="38" t="s">
        <v>19</v>
      </c>
      <c r="C11" s="40">
        <v>43235</v>
      </c>
      <c r="D11" s="40">
        <v>43265</v>
      </c>
      <c r="E11" s="39">
        <v>0</v>
      </c>
      <c r="F11" s="41">
        <v>0</v>
      </c>
      <c r="G11" s="110">
        <v>0</v>
      </c>
      <c r="H11" s="43">
        <v>0</v>
      </c>
      <c r="I11" s="44">
        <v>0</v>
      </c>
      <c r="J11" s="122"/>
      <c r="K11" s="27"/>
      <c r="L11" s="27"/>
      <c r="M11" s="27"/>
      <c r="N11" s="27"/>
      <c r="O11" s="27"/>
    </row>
    <row r="12" spans="1:15" s="28" customFormat="1" ht="14.25" x14ac:dyDescent="0.3">
      <c r="A12" s="37" t="s">
        <v>22</v>
      </c>
      <c r="B12" s="38" t="s">
        <v>19</v>
      </c>
      <c r="C12" s="40" t="s">
        <v>171</v>
      </c>
      <c r="D12" s="40" t="s">
        <v>171</v>
      </c>
      <c r="E12" s="39">
        <v>0</v>
      </c>
      <c r="F12" s="39">
        <v>0</v>
      </c>
      <c r="G12" s="109">
        <v>0</v>
      </c>
      <c r="H12" s="40" t="s">
        <v>171</v>
      </c>
      <c r="I12" s="44">
        <v>0</v>
      </c>
      <c r="J12" s="122"/>
      <c r="K12" s="27"/>
      <c r="L12" s="27"/>
      <c r="M12" s="27"/>
      <c r="N12" s="27"/>
      <c r="O12" s="27"/>
    </row>
    <row r="13" spans="1:15" s="28" customFormat="1" ht="14.25" x14ac:dyDescent="0.3">
      <c r="A13" s="116" t="s">
        <v>23</v>
      </c>
      <c r="B13" s="117" t="s">
        <v>24</v>
      </c>
      <c r="C13" s="119">
        <v>43241</v>
      </c>
      <c r="D13" s="119">
        <v>43271</v>
      </c>
      <c r="E13" s="118">
        <v>13120</v>
      </c>
      <c r="F13" s="124">
        <v>408.53</v>
      </c>
      <c r="G13" s="120">
        <v>0</v>
      </c>
      <c r="H13" s="125" t="s">
        <v>135</v>
      </c>
      <c r="I13" s="121">
        <v>5359910</v>
      </c>
      <c r="J13" s="115"/>
      <c r="K13" s="123"/>
      <c r="L13" s="27"/>
      <c r="M13" s="27"/>
      <c r="N13" s="27"/>
      <c r="O13" s="27"/>
    </row>
    <row r="14" spans="1:15" s="28" customFormat="1" ht="14.25" x14ac:dyDescent="0.3">
      <c r="A14" s="37" t="s">
        <v>25</v>
      </c>
      <c r="B14" s="38" t="s">
        <v>24</v>
      </c>
      <c r="C14" s="40">
        <v>43241</v>
      </c>
      <c r="D14" s="40">
        <v>43271</v>
      </c>
      <c r="E14" s="39">
        <v>16220</v>
      </c>
      <c r="F14" s="41">
        <v>408.53</v>
      </c>
      <c r="G14" s="109">
        <v>0</v>
      </c>
      <c r="H14" s="43" t="s">
        <v>135</v>
      </c>
      <c r="I14" s="44">
        <v>6626350</v>
      </c>
      <c r="J14" s="126"/>
      <c r="K14" s="27"/>
      <c r="L14" s="27"/>
      <c r="M14" s="27"/>
      <c r="N14" s="27"/>
      <c r="O14" s="27"/>
    </row>
    <row r="15" spans="1:15" s="28" customFormat="1" ht="14.25" x14ac:dyDescent="0.3">
      <c r="A15" s="37" t="s">
        <v>26</v>
      </c>
      <c r="B15" s="38" t="s">
        <v>24</v>
      </c>
      <c r="C15" s="40">
        <v>43243</v>
      </c>
      <c r="D15" s="40">
        <v>43273</v>
      </c>
      <c r="E15" s="39">
        <v>6454</v>
      </c>
      <c r="F15" s="41">
        <v>441.7</v>
      </c>
      <c r="G15" s="109">
        <v>0</v>
      </c>
      <c r="H15" s="43" t="s">
        <v>135</v>
      </c>
      <c r="I15" s="44">
        <v>2850730</v>
      </c>
      <c r="J15" s="126"/>
      <c r="K15" s="27"/>
      <c r="L15" s="27"/>
      <c r="M15" s="27"/>
      <c r="N15" s="27"/>
      <c r="O15" s="27"/>
    </row>
    <row r="16" spans="1:15" s="28" customFormat="1" ht="14.25" x14ac:dyDescent="0.3">
      <c r="A16" s="37" t="s">
        <v>27</v>
      </c>
      <c r="B16" s="38" t="s">
        <v>24</v>
      </c>
      <c r="C16" s="40">
        <v>43243</v>
      </c>
      <c r="D16" s="40">
        <v>43273</v>
      </c>
      <c r="E16" s="39">
        <v>2404</v>
      </c>
      <c r="F16" s="41">
        <v>441.7</v>
      </c>
      <c r="G16" s="109">
        <v>0</v>
      </c>
      <c r="H16" s="43" t="s">
        <v>136</v>
      </c>
      <c r="I16" s="44">
        <v>1061850</v>
      </c>
      <c r="J16" s="126"/>
      <c r="K16" s="27"/>
      <c r="L16" s="27"/>
      <c r="M16" s="27"/>
      <c r="N16" s="27"/>
      <c r="O16" s="27"/>
    </row>
    <row r="17" spans="1:15" s="28" customFormat="1" ht="14.25" x14ac:dyDescent="0.3">
      <c r="A17" s="37" t="s">
        <v>28</v>
      </c>
      <c r="B17" s="38" t="s">
        <v>24</v>
      </c>
      <c r="C17" s="40">
        <v>43243</v>
      </c>
      <c r="D17" s="40">
        <v>43273</v>
      </c>
      <c r="E17" s="39">
        <v>5478</v>
      </c>
      <c r="F17" s="41">
        <v>441.7</v>
      </c>
      <c r="G17" s="109">
        <v>0</v>
      </c>
      <c r="H17" s="43" t="s">
        <v>135</v>
      </c>
      <c r="I17" s="127">
        <v>2237930</v>
      </c>
      <c r="J17" s="115"/>
      <c r="K17" s="27"/>
      <c r="L17" s="27"/>
      <c r="M17" s="27"/>
      <c r="N17" s="27"/>
      <c r="O17" s="27"/>
    </row>
    <row r="18" spans="1:15" s="28" customFormat="1" ht="14.25" x14ac:dyDescent="0.3">
      <c r="A18" s="37" t="s">
        <v>29</v>
      </c>
      <c r="B18" s="38" t="s">
        <v>24</v>
      </c>
      <c r="C18" s="40">
        <v>43241</v>
      </c>
      <c r="D18" s="40">
        <v>43271</v>
      </c>
      <c r="E18" s="39">
        <v>14320</v>
      </c>
      <c r="F18" s="41">
        <v>408.53</v>
      </c>
      <c r="G18" s="109">
        <v>0</v>
      </c>
      <c r="H18" s="48" t="s">
        <v>135</v>
      </c>
      <c r="I18" s="44">
        <v>5850150</v>
      </c>
      <c r="J18" s="115"/>
      <c r="K18" s="27"/>
      <c r="L18" s="27"/>
      <c r="M18" s="27"/>
      <c r="N18" s="27"/>
      <c r="O18" s="27"/>
    </row>
    <row r="19" spans="1:15" s="28" customFormat="1" ht="14.25" x14ac:dyDescent="0.3">
      <c r="A19" s="37" t="s">
        <v>137</v>
      </c>
      <c r="B19" s="49" t="s">
        <v>31</v>
      </c>
      <c r="C19" s="40">
        <v>43244</v>
      </c>
      <c r="D19" s="40">
        <v>43274</v>
      </c>
      <c r="E19" s="39">
        <v>37840</v>
      </c>
      <c r="F19" s="41">
        <v>376.92</v>
      </c>
      <c r="G19" s="109">
        <v>0</v>
      </c>
      <c r="H19" s="43" t="s">
        <v>135</v>
      </c>
      <c r="I19" s="44">
        <v>14010720</v>
      </c>
      <c r="J19" s="126"/>
      <c r="K19" s="27"/>
      <c r="L19" s="27"/>
      <c r="M19" s="27"/>
      <c r="N19" s="27"/>
      <c r="O19" s="27"/>
    </row>
    <row r="20" spans="1:15" s="28" customFormat="1" ht="14.25" x14ac:dyDescent="0.3">
      <c r="A20" s="37" t="s">
        <v>138</v>
      </c>
      <c r="B20" s="38" t="s">
        <v>33</v>
      </c>
      <c r="C20" s="40">
        <v>43209</v>
      </c>
      <c r="D20" s="40">
        <v>43242</v>
      </c>
      <c r="E20" s="39">
        <v>63360</v>
      </c>
      <c r="F20" s="41">
        <v>389.03</v>
      </c>
      <c r="G20" s="109">
        <v>0</v>
      </c>
      <c r="H20" s="43" t="s">
        <v>135</v>
      </c>
      <c r="I20" s="44">
        <v>24759040</v>
      </c>
      <c r="J20" s="115"/>
      <c r="K20" s="27"/>
      <c r="L20" s="27"/>
      <c r="M20" s="27"/>
      <c r="N20" s="27"/>
      <c r="O20" s="27"/>
    </row>
    <row r="21" spans="1:15" s="28" customFormat="1" ht="14.25" x14ac:dyDescent="0.3">
      <c r="A21" s="37" t="s">
        <v>139</v>
      </c>
      <c r="B21" s="38" t="s">
        <v>35</v>
      </c>
      <c r="C21" s="40">
        <v>43241</v>
      </c>
      <c r="D21" s="40">
        <v>43272</v>
      </c>
      <c r="E21" s="39">
        <v>48400</v>
      </c>
      <c r="F21" s="41">
        <v>377.78</v>
      </c>
      <c r="G21" s="109">
        <v>0</v>
      </c>
      <c r="H21" s="43" t="s">
        <v>135</v>
      </c>
      <c r="I21" s="44">
        <v>17956660</v>
      </c>
      <c r="J21" s="115"/>
      <c r="K21" s="27"/>
      <c r="L21" s="27"/>
      <c r="M21" s="27"/>
      <c r="N21" s="27"/>
      <c r="O21" s="27"/>
    </row>
    <row r="22" spans="1:15" s="28" customFormat="1" ht="14.25" x14ac:dyDescent="0.3">
      <c r="A22" s="37" t="s">
        <v>140</v>
      </c>
      <c r="B22" s="38" t="s">
        <v>37</v>
      </c>
      <c r="C22" s="40">
        <v>43237</v>
      </c>
      <c r="D22" s="40">
        <v>43267</v>
      </c>
      <c r="E22" s="39">
        <v>36960</v>
      </c>
      <c r="F22" s="41">
        <v>376.92</v>
      </c>
      <c r="G22" s="109">
        <v>0</v>
      </c>
      <c r="H22" s="43" t="s">
        <v>135</v>
      </c>
      <c r="I22" s="44">
        <v>13686450</v>
      </c>
      <c r="J22" s="126"/>
      <c r="K22" s="27"/>
      <c r="L22" s="27"/>
      <c r="M22" s="27"/>
      <c r="N22" s="27"/>
      <c r="O22" s="27"/>
    </row>
    <row r="23" spans="1:15" s="28" customFormat="1" ht="14.25" x14ac:dyDescent="0.3">
      <c r="A23" s="37" t="s">
        <v>141</v>
      </c>
      <c r="B23" s="38" t="s">
        <v>39</v>
      </c>
      <c r="C23" s="40">
        <v>43213</v>
      </c>
      <c r="D23" s="40">
        <v>43244</v>
      </c>
      <c r="E23" s="39">
        <v>93720</v>
      </c>
      <c r="F23" s="41">
        <v>388.51</v>
      </c>
      <c r="G23" s="109">
        <v>0</v>
      </c>
      <c r="H23" s="43" t="s">
        <v>135</v>
      </c>
      <c r="I23" s="44">
        <v>36537620</v>
      </c>
      <c r="J23" s="115"/>
      <c r="K23" s="27"/>
      <c r="L23" s="27"/>
      <c r="M23" s="27"/>
      <c r="N23" s="27"/>
      <c r="O23" s="27"/>
    </row>
    <row r="24" spans="1:15" s="28" customFormat="1" ht="14.25" x14ac:dyDescent="0.3">
      <c r="A24" s="37" t="s">
        <v>142</v>
      </c>
      <c r="B24" s="38" t="s">
        <v>41</v>
      </c>
      <c r="C24" s="40">
        <v>43241</v>
      </c>
      <c r="D24" s="40">
        <v>43271</v>
      </c>
      <c r="E24" s="39">
        <v>202400</v>
      </c>
      <c r="F24" s="41">
        <v>377.78</v>
      </c>
      <c r="G24" s="109">
        <v>0</v>
      </c>
      <c r="H24" s="43" t="s">
        <v>135</v>
      </c>
      <c r="I24" s="44">
        <v>75132910</v>
      </c>
      <c r="J24" s="115"/>
      <c r="K24" s="27"/>
      <c r="L24" s="27"/>
      <c r="M24" s="27"/>
      <c r="N24" s="27"/>
      <c r="O24" s="27"/>
    </row>
    <row r="25" spans="1:15" s="28" customFormat="1" ht="14.25" x14ac:dyDescent="0.3">
      <c r="A25" s="37" t="s">
        <v>143</v>
      </c>
      <c r="B25" s="38" t="s">
        <v>43</v>
      </c>
      <c r="C25" s="40">
        <v>43245</v>
      </c>
      <c r="D25" s="40">
        <v>43274</v>
      </c>
      <c r="E25" s="39">
        <v>30360</v>
      </c>
      <c r="F25" s="41">
        <v>369.5</v>
      </c>
      <c r="G25" s="109">
        <v>0</v>
      </c>
      <c r="H25" s="43" t="s">
        <v>135</v>
      </c>
      <c r="I25" s="44">
        <v>11394680</v>
      </c>
      <c r="J25" s="126"/>
      <c r="K25" s="27"/>
      <c r="L25" s="27"/>
      <c r="M25" s="27"/>
      <c r="N25" s="27"/>
      <c r="O25" s="27"/>
    </row>
    <row r="26" spans="1:15" s="28" customFormat="1" ht="14.25" x14ac:dyDescent="0.3">
      <c r="A26" s="37" t="s">
        <v>144</v>
      </c>
      <c r="B26" s="38" t="s">
        <v>45</v>
      </c>
      <c r="C26" s="40">
        <v>43238</v>
      </c>
      <c r="D26" s="40">
        <v>43269</v>
      </c>
      <c r="E26" s="39">
        <f>8360+34320</f>
        <v>42680</v>
      </c>
      <c r="F26" s="41">
        <v>377.8</v>
      </c>
      <c r="G26" s="109">
        <v>0</v>
      </c>
      <c r="H26" s="43" t="s">
        <v>135</v>
      </c>
      <c r="I26" s="44">
        <v>17799930</v>
      </c>
      <c r="J26" s="115"/>
      <c r="K26" s="27"/>
      <c r="L26" s="27"/>
      <c r="M26" s="27"/>
      <c r="N26" s="27"/>
      <c r="O26" s="27"/>
    </row>
    <row r="27" spans="1:15" s="28" customFormat="1" ht="14.25" x14ac:dyDescent="0.3">
      <c r="A27" s="37" t="s">
        <v>145</v>
      </c>
      <c r="B27" s="38" t="s">
        <v>47</v>
      </c>
      <c r="C27" s="40">
        <v>43242</v>
      </c>
      <c r="D27" s="128">
        <v>43272</v>
      </c>
      <c r="E27" s="39">
        <v>0</v>
      </c>
      <c r="F27" s="41">
        <v>0</v>
      </c>
      <c r="G27" s="109">
        <v>0</v>
      </c>
      <c r="H27" s="43" t="s">
        <v>136</v>
      </c>
      <c r="I27" s="44">
        <v>37000</v>
      </c>
      <c r="J27" s="122"/>
      <c r="K27" s="27"/>
      <c r="L27" s="27"/>
      <c r="M27" s="27"/>
      <c r="N27" s="27"/>
      <c r="O27" s="27"/>
    </row>
    <row r="28" spans="1:15" s="28" customFormat="1" ht="14.25" x14ac:dyDescent="0.3">
      <c r="A28" s="37" t="s">
        <v>146</v>
      </c>
      <c r="B28" s="38" t="s">
        <v>49</v>
      </c>
      <c r="C28" s="40">
        <v>43238</v>
      </c>
      <c r="D28" s="40">
        <v>43269</v>
      </c>
      <c r="E28" s="39">
        <v>1660</v>
      </c>
      <c r="F28" s="41">
        <v>441.7</v>
      </c>
      <c r="G28" s="109">
        <v>0</v>
      </c>
      <c r="H28" s="43" t="s">
        <v>135</v>
      </c>
      <c r="I28" s="44">
        <v>733230</v>
      </c>
      <c r="J28" s="122"/>
      <c r="K28" s="27"/>
      <c r="L28" s="27"/>
      <c r="M28" s="27"/>
      <c r="N28" s="27"/>
      <c r="O28" s="27"/>
    </row>
    <row r="29" spans="1:15" s="28" customFormat="1" ht="14.25" x14ac:dyDescent="0.3">
      <c r="A29" s="37" t="s">
        <v>147</v>
      </c>
      <c r="B29" s="38" t="s">
        <v>51</v>
      </c>
      <c r="C29" s="40">
        <v>43236</v>
      </c>
      <c r="D29" s="40">
        <v>43266</v>
      </c>
      <c r="E29" s="39">
        <v>155</v>
      </c>
      <c r="F29" s="41">
        <v>441.7</v>
      </c>
      <c r="G29" s="109">
        <v>0</v>
      </c>
      <c r="H29" s="43" t="s">
        <v>135</v>
      </c>
      <c r="I29" s="44">
        <v>68460</v>
      </c>
      <c r="J29" s="126"/>
      <c r="K29" s="27"/>
      <c r="L29" s="27"/>
      <c r="M29" s="27"/>
      <c r="N29" s="27"/>
      <c r="O29" s="27"/>
    </row>
    <row r="30" spans="1:15" s="28" customFormat="1" ht="14.25" x14ac:dyDescent="0.3">
      <c r="A30" s="37" t="s">
        <v>148</v>
      </c>
      <c r="B30" s="38" t="s">
        <v>53</v>
      </c>
      <c r="C30" s="40">
        <v>43239</v>
      </c>
      <c r="D30" s="40">
        <v>43270</v>
      </c>
      <c r="E30" s="39">
        <v>6400</v>
      </c>
      <c r="F30" s="41">
        <v>441.7</v>
      </c>
      <c r="G30" s="109">
        <v>0</v>
      </c>
      <c r="H30" s="43" t="s">
        <v>135</v>
      </c>
      <c r="I30" s="44">
        <v>2826880</v>
      </c>
      <c r="J30" s="126"/>
      <c r="K30" s="27"/>
      <c r="L30" s="27"/>
      <c r="M30" s="27"/>
      <c r="N30" s="27"/>
      <c r="O30" s="27"/>
    </row>
    <row r="31" spans="1:15" s="28" customFormat="1" ht="14.25" x14ac:dyDescent="0.3">
      <c r="A31" s="37" t="s">
        <v>151</v>
      </c>
      <c r="B31" s="38" t="s">
        <v>59</v>
      </c>
      <c r="C31" s="40">
        <v>43244</v>
      </c>
      <c r="D31" s="40">
        <v>43274</v>
      </c>
      <c r="E31" s="39">
        <v>6800</v>
      </c>
      <c r="F31" s="41">
        <v>441.7</v>
      </c>
      <c r="G31" s="109">
        <v>0</v>
      </c>
      <c r="H31" s="43" t="s">
        <v>135</v>
      </c>
      <c r="I31" s="44">
        <v>3003560</v>
      </c>
      <c r="J31" s="126"/>
      <c r="K31" s="27"/>
      <c r="L31" s="27"/>
      <c r="M31" s="27"/>
      <c r="N31" s="27"/>
      <c r="O31" s="27"/>
    </row>
    <row r="32" spans="1:15" s="28" customFormat="1" ht="14.25" x14ac:dyDescent="0.3">
      <c r="A32" s="37" t="s">
        <v>152</v>
      </c>
      <c r="B32" s="38" t="s">
        <v>61</v>
      </c>
      <c r="C32" s="40">
        <v>43237</v>
      </c>
      <c r="D32" s="40">
        <v>43266</v>
      </c>
      <c r="E32" s="39">
        <v>22000</v>
      </c>
      <c r="F32" s="41">
        <v>441.7</v>
      </c>
      <c r="G32" s="109">
        <v>0</v>
      </c>
      <c r="H32" s="43" t="s">
        <v>135</v>
      </c>
      <c r="I32" s="44">
        <v>9717400</v>
      </c>
      <c r="J32" s="126"/>
      <c r="K32" s="27"/>
      <c r="L32" s="27"/>
      <c r="M32" s="27"/>
      <c r="N32" s="27"/>
      <c r="O32" s="27"/>
    </row>
    <row r="33" spans="1:15" s="28" customFormat="1" ht="14.25" x14ac:dyDescent="0.3">
      <c r="A33" s="37" t="s">
        <v>153</v>
      </c>
      <c r="B33" s="49" t="s">
        <v>63</v>
      </c>
      <c r="C33" s="40">
        <v>43239</v>
      </c>
      <c r="D33" s="40">
        <v>43270</v>
      </c>
      <c r="E33" s="39">
        <v>7920</v>
      </c>
      <c r="F33" s="41">
        <v>408.53</v>
      </c>
      <c r="G33" s="109">
        <v>0</v>
      </c>
      <c r="H33" s="43" t="s">
        <v>135</v>
      </c>
      <c r="I33" s="44">
        <v>3235560</v>
      </c>
      <c r="J33" s="115"/>
      <c r="K33" s="27"/>
      <c r="L33" s="27"/>
      <c r="M33" s="27"/>
      <c r="N33" s="27"/>
      <c r="O33" s="27"/>
    </row>
    <row r="34" spans="1:15" s="28" customFormat="1" ht="14.25" x14ac:dyDescent="0.3">
      <c r="A34" s="37" t="s">
        <v>154</v>
      </c>
      <c r="B34" s="38" t="s">
        <v>65</v>
      </c>
      <c r="C34" s="40">
        <v>43237</v>
      </c>
      <c r="D34" s="40">
        <v>43267</v>
      </c>
      <c r="E34" s="39">
        <v>2287</v>
      </c>
      <c r="F34" s="41">
        <v>441.7</v>
      </c>
      <c r="G34" s="109">
        <v>0</v>
      </c>
      <c r="H34" s="43" t="s">
        <v>135</v>
      </c>
      <c r="I34" s="44">
        <v>1010170</v>
      </c>
      <c r="J34" s="126"/>
      <c r="K34" s="27"/>
      <c r="L34" s="27"/>
      <c r="M34" s="27"/>
      <c r="N34" s="27"/>
      <c r="O34" s="27"/>
    </row>
    <row r="35" spans="1:15" s="28" customFormat="1" ht="14.25" x14ac:dyDescent="0.3">
      <c r="A35" s="37" t="s">
        <v>155</v>
      </c>
      <c r="B35" s="38" t="s">
        <v>67</v>
      </c>
      <c r="C35" s="40">
        <v>43225</v>
      </c>
      <c r="D35" s="40">
        <v>43256</v>
      </c>
      <c r="E35" s="39">
        <v>1471</v>
      </c>
      <c r="F35" s="41">
        <v>461.82</v>
      </c>
      <c r="G35" s="109">
        <v>0</v>
      </c>
      <c r="H35" s="43" t="s">
        <v>135</v>
      </c>
      <c r="I35" s="44">
        <v>679340</v>
      </c>
      <c r="J35" s="115"/>
      <c r="K35" s="27"/>
      <c r="L35" s="27"/>
      <c r="M35" s="27"/>
      <c r="N35" s="27"/>
      <c r="O35" s="27"/>
    </row>
    <row r="36" spans="1:15" s="28" customFormat="1" ht="14.25" x14ac:dyDescent="0.3">
      <c r="A36" s="37" t="s">
        <v>156</v>
      </c>
      <c r="B36" s="38" t="s">
        <v>69</v>
      </c>
      <c r="C36" s="40">
        <v>43239</v>
      </c>
      <c r="D36" s="40">
        <v>43270</v>
      </c>
      <c r="E36" s="39">
        <v>7280</v>
      </c>
      <c r="F36" s="41">
        <v>441.7</v>
      </c>
      <c r="G36" s="109">
        <v>0</v>
      </c>
      <c r="H36" s="43" t="s">
        <v>135</v>
      </c>
      <c r="I36" s="44">
        <v>3215570</v>
      </c>
      <c r="J36" s="115"/>
      <c r="K36" s="27"/>
      <c r="L36" s="27"/>
      <c r="M36" s="27"/>
      <c r="N36" s="27"/>
      <c r="O36" s="27"/>
    </row>
    <row r="37" spans="1:15" s="28" customFormat="1" ht="14.25" x14ac:dyDescent="0.3">
      <c r="A37" s="37" t="s">
        <v>157</v>
      </c>
      <c r="B37" s="38" t="s">
        <v>71</v>
      </c>
      <c r="C37" s="40">
        <v>43236</v>
      </c>
      <c r="D37" s="40">
        <v>43266</v>
      </c>
      <c r="E37" s="39">
        <v>3600</v>
      </c>
      <c r="F37" s="41">
        <v>408.53</v>
      </c>
      <c r="G37" s="109">
        <v>0</v>
      </c>
      <c r="H37" s="43" t="s">
        <v>135</v>
      </c>
      <c r="I37" s="44">
        <v>1470700</v>
      </c>
      <c r="J37" s="115"/>
      <c r="K37" s="27"/>
      <c r="L37" s="27"/>
      <c r="M37" s="27"/>
      <c r="N37" s="27"/>
      <c r="O37" s="27"/>
    </row>
    <row r="38" spans="1:15" s="28" customFormat="1" ht="14.25" x14ac:dyDescent="0.3">
      <c r="A38" s="37" t="s">
        <v>158</v>
      </c>
      <c r="B38" s="38" t="s">
        <v>73</v>
      </c>
      <c r="C38" s="40">
        <v>43242</v>
      </c>
      <c r="D38" s="40">
        <v>43273</v>
      </c>
      <c r="E38" s="39">
        <v>2662</v>
      </c>
      <c r="F38" s="41">
        <v>441.7</v>
      </c>
      <c r="G38" s="109">
        <v>0</v>
      </c>
      <c r="H38" s="43" t="s">
        <v>135</v>
      </c>
      <c r="I38" s="44">
        <v>1175810</v>
      </c>
      <c r="J38" s="115"/>
      <c r="K38" s="27"/>
      <c r="L38" s="27"/>
      <c r="M38" s="27"/>
      <c r="N38" s="27"/>
      <c r="O38" s="27"/>
    </row>
    <row r="39" spans="1:15" s="28" customFormat="1" ht="14.25" x14ac:dyDescent="0.3">
      <c r="A39" s="37" t="s">
        <v>180</v>
      </c>
      <c r="B39" s="38" t="s">
        <v>116</v>
      </c>
      <c r="C39" s="40">
        <v>43237</v>
      </c>
      <c r="D39" s="40">
        <v>43267</v>
      </c>
      <c r="E39" s="39">
        <v>8960</v>
      </c>
      <c r="F39" s="41">
        <v>441.7</v>
      </c>
      <c r="G39" s="109">
        <v>0</v>
      </c>
      <c r="H39" s="43" t="s">
        <v>135</v>
      </c>
      <c r="I39" s="44">
        <v>3957630</v>
      </c>
      <c r="J39" s="126"/>
      <c r="K39" s="27"/>
      <c r="L39" s="27"/>
      <c r="M39" s="27"/>
      <c r="N39" s="27"/>
      <c r="O39" s="27"/>
    </row>
    <row r="40" spans="1:15" s="28" customFormat="1" ht="14.25" x14ac:dyDescent="0.3">
      <c r="A40" s="37" t="s">
        <v>160</v>
      </c>
      <c r="B40" s="38" t="s">
        <v>77</v>
      </c>
      <c r="C40" s="40">
        <v>43244</v>
      </c>
      <c r="D40" s="40">
        <v>43274</v>
      </c>
      <c r="E40" s="39">
        <v>9840</v>
      </c>
      <c r="F40" s="41">
        <v>441.7</v>
      </c>
      <c r="G40" s="109">
        <v>0</v>
      </c>
      <c r="H40" s="43" t="s">
        <v>135</v>
      </c>
      <c r="I40" s="127">
        <v>4346330</v>
      </c>
      <c r="J40" s="126"/>
      <c r="K40" s="27"/>
      <c r="L40" s="27"/>
      <c r="M40" s="27"/>
      <c r="N40" s="27"/>
      <c r="O40" s="27"/>
    </row>
    <row r="41" spans="1:15" s="28" customFormat="1" ht="14.25" x14ac:dyDescent="0.3">
      <c r="A41" s="37" t="s">
        <v>161</v>
      </c>
      <c r="B41" s="38" t="s">
        <v>79</v>
      </c>
      <c r="C41" s="40">
        <v>43237</v>
      </c>
      <c r="D41" s="40">
        <v>43267</v>
      </c>
      <c r="E41" s="39">
        <v>8000</v>
      </c>
      <c r="F41" s="41">
        <v>408.53</v>
      </c>
      <c r="G41" s="109">
        <v>0</v>
      </c>
      <c r="H41" s="43" t="s">
        <v>135</v>
      </c>
      <c r="I41" s="44">
        <v>3268240</v>
      </c>
      <c r="J41" s="122"/>
      <c r="K41" s="27"/>
      <c r="L41" s="27"/>
      <c r="M41" s="27"/>
      <c r="N41" s="27"/>
      <c r="O41" s="27"/>
    </row>
    <row r="42" spans="1:15" s="28" customFormat="1" ht="14.25" x14ac:dyDescent="0.3">
      <c r="A42" s="59" t="s">
        <v>162</v>
      </c>
      <c r="B42" s="49" t="s">
        <v>81</v>
      </c>
      <c r="C42" s="40">
        <v>43230</v>
      </c>
      <c r="D42" s="40">
        <v>43259</v>
      </c>
      <c r="E42" s="39">
        <v>3352</v>
      </c>
      <c r="F42" s="41">
        <v>441.7</v>
      </c>
      <c r="G42" s="109">
        <v>0</v>
      </c>
      <c r="H42" s="43" t="s">
        <v>135</v>
      </c>
      <c r="I42" s="44">
        <v>1480580</v>
      </c>
      <c r="J42" s="126"/>
      <c r="K42" s="27"/>
      <c r="L42" s="27"/>
      <c r="M42" s="27"/>
      <c r="N42" s="27"/>
      <c r="O42" s="27"/>
    </row>
    <row r="43" spans="1:15" s="28" customFormat="1" ht="14.25" x14ac:dyDescent="0.3">
      <c r="A43" s="59" t="s">
        <v>163</v>
      </c>
      <c r="B43" s="49" t="s">
        <v>83</v>
      </c>
      <c r="C43" s="40">
        <v>43237</v>
      </c>
      <c r="D43" s="40">
        <v>43267</v>
      </c>
      <c r="E43" s="39">
        <v>8700</v>
      </c>
      <c r="F43" s="41">
        <v>408.53</v>
      </c>
      <c r="G43" s="109">
        <v>0</v>
      </c>
      <c r="H43" s="43" t="s">
        <v>135</v>
      </c>
      <c r="I43" s="44">
        <v>3554210</v>
      </c>
      <c r="J43" s="126"/>
      <c r="K43" s="27"/>
      <c r="L43" s="27"/>
      <c r="M43" s="27"/>
      <c r="N43" s="27"/>
      <c r="O43" s="27"/>
    </row>
    <row r="44" spans="1:15" s="28" customFormat="1" ht="14.25" x14ac:dyDescent="0.3">
      <c r="A44" s="37" t="s">
        <v>196</v>
      </c>
      <c r="B44" s="49" t="s">
        <v>85</v>
      </c>
      <c r="C44" s="40">
        <v>43244</v>
      </c>
      <c r="D44" s="40">
        <v>43274</v>
      </c>
      <c r="E44" s="39">
        <v>7040</v>
      </c>
      <c r="F44" s="41">
        <v>408.53</v>
      </c>
      <c r="G44" s="109">
        <v>0</v>
      </c>
      <c r="H44" s="43" t="s">
        <v>135</v>
      </c>
      <c r="I44" s="44">
        <v>3262340</v>
      </c>
      <c r="J44" s="126"/>
      <c r="K44" s="27"/>
      <c r="L44" s="27"/>
      <c r="M44" s="27"/>
      <c r="N44" s="27"/>
      <c r="O44" s="27"/>
    </row>
    <row r="45" spans="1:15" s="28" customFormat="1" ht="14.25" x14ac:dyDescent="0.3">
      <c r="A45" s="37" t="s">
        <v>166</v>
      </c>
      <c r="B45" s="38" t="s">
        <v>89</v>
      </c>
      <c r="C45" s="40">
        <v>43209</v>
      </c>
      <c r="D45" s="40">
        <v>43241</v>
      </c>
      <c r="E45" s="39">
        <v>11920</v>
      </c>
      <c r="F45" s="41">
        <v>461.82</v>
      </c>
      <c r="G45" s="109">
        <v>0</v>
      </c>
      <c r="H45" s="43" t="s">
        <v>135</v>
      </c>
      <c r="I45" s="44">
        <v>5504890</v>
      </c>
      <c r="J45" s="126"/>
      <c r="K45" s="27"/>
      <c r="L45" s="27"/>
      <c r="M45" s="27"/>
      <c r="N45" s="27"/>
      <c r="O45" s="27"/>
    </row>
    <row r="46" spans="1:15" s="28" customFormat="1" ht="14.25" x14ac:dyDescent="0.3">
      <c r="A46" s="116" t="s">
        <v>167</v>
      </c>
      <c r="B46" s="117" t="s">
        <v>91</v>
      </c>
      <c r="C46" s="119">
        <v>43244</v>
      </c>
      <c r="D46" s="119">
        <v>43274</v>
      </c>
      <c r="E46" s="118">
        <v>8240</v>
      </c>
      <c r="F46" s="124">
        <v>408.53</v>
      </c>
      <c r="G46" s="120">
        <v>0</v>
      </c>
      <c r="H46" s="125" t="s">
        <v>135</v>
      </c>
      <c r="I46" s="121">
        <v>3366290</v>
      </c>
      <c r="J46" s="126"/>
      <c r="K46" s="123"/>
      <c r="L46" s="27"/>
      <c r="M46" s="27"/>
      <c r="N46" s="27"/>
      <c r="O46" s="27"/>
    </row>
    <row r="47" spans="1:15" s="28" customFormat="1" ht="14.25" x14ac:dyDescent="0.3">
      <c r="A47" s="37" t="s">
        <v>168</v>
      </c>
      <c r="B47" s="38" t="s">
        <v>93</v>
      </c>
      <c r="C47" s="40">
        <v>43241</v>
      </c>
      <c r="D47" s="40">
        <v>43271</v>
      </c>
      <c r="E47" s="39">
        <v>5280</v>
      </c>
      <c r="F47" s="41">
        <v>408.53</v>
      </c>
      <c r="G47" s="109">
        <v>0</v>
      </c>
      <c r="H47" s="43" t="s">
        <v>135</v>
      </c>
      <c r="I47" s="44">
        <v>2157040</v>
      </c>
      <c r="J47" s="115"/>
      <c r="K47" s="27"/>
      <c r="L47" s="27"/>
      <c r="M47" s="27"/>
      <c r="N47" s="27"/>
      <c r="O47" s="27"/>
    </row>
    <row r="48" spans="1:15" s="28" customFormat="1" ht="14.25" x14ac:dyDescent="0.3">
      <c r="A48" s="37" t="s">
        <v>169</v>
      </c>
      <c r="B48" s="38" t="s">
        <v>95</v>
      </c>
      <c r="C48" s="40">
        <v>43245</v>
      </c>
      <c r="D48" s="40">
        <v>43274</v>
      </c>
      <c r="E48" s="39">
        <v>8080</v>
      </c>
      <c r="F48" s="41">
        <v>408.53</v>
      </c>
      <c r="G48" s="109">
        <v>0</v>
      </c>
      <c r="H48" s="43" t="s">
        <v>135</v>
      </c>
      <c r="I48" s="44">
        <v>3300920</v>
      </c>
      <c r="J48" s="115"/>
      <c r="K48" s="27"/>
      <c r="L48" s="27"/>
      <c r="M48" s="27"/>
      <c r="N48" s="27"/>
      <c r="O48" s="27"/>
    </row>
    <row r="49" spans="1:15" s="28" customFormat="1" ht="14.25" x14ac:dyDescent="0.3">
      <c r="A49" s="37" t="s">
        <v>170</v>
      </c>
      <c r="B49" s="38" t="s">
        <v>97</v>
      </c>
      <c r="C49" s="40" t="s">
        <v>171</v>
      </c>
      <c r="D49" s="40" t="s">
        <v>171</v>
      </c>
      <c r="E49" s="39">
        <v>0</v>
      </c>
      <c r="F49" s="39">
        <v>0</v>
      </c>
      <c r="G49" s="109">
        <v>0</v>
      </c>
      <c r="H49" s="40" t="s">
        <v>171</v>
      </c>
      <c r="I49" s="44">
        <v>0</v>
      </c>
      <c r="J49" s="122"/>
      <c r="K49" s="27"/>
      <c r="L49" s="27"/>
      <c r="M49" s="27"/>
      <c r="N49" s="27"/>
      <c r="O49" s="27"/>
    </row>
    <row r="50" spans="1:15" s="28" customFormat="1" ht="14.25" x14ac:dyDescent="0.3">
      <c r="A50" s="37" t="s">
        <v>172</v>
      </c>
      <c r="B50" s="49" t="s">
        <v>100</v>
      </c>
      <c r="C50" s="40">
        <v>43241</v>
      </c>
      <c r="D50" s="40">
        <v>43272</v>
      </c>
      <c r="E50" s="39">
        <v>7600</v>
      </c>
      <c r="F50" s="41">
        <v>408.53</v>
      </c>
      <c r="G50" s="109">
        <v>0</v>
      </c>
      <c r="H50" s="61" t="s">
        <v>135</v>
      </c>
      <c r="I50" s="44">
        <v>3104830</v>
      </c>
      <c r="J50" s="115"/>
      <c r="K50" s="27"/>
      <c r="L50" s="27"/>
      <c r="M50" s="27"/>
      <c r="N50" s="27"/>
      <c r="O50" s="27"/>
    </row>
    <row r="51" spans="1:15" s="28" customFormat="1" ht="14.25" x14ac:dyDescent="0.3">
      <c r="A51" s="116" t="s">
        <v>173</v>
      </c>
      <c r="B51" s="117" t="s">
        <v>102</v>
      </c>
      <c r="C51" s="119">
        <v>43232</v>
      </c>
      <c r="D51" s="119">
        <v>43264</v>
      </c>
      <c r="E51" s="118">
        <v>2493</v>
      </c>
      <c r="F51" s="124">
        <v>441.7</v>
      </c>
      <c r="G51" s="120">
        <v>0</v>
      </c>
      <c r="H51" s="125" t="s">
        <v>135</v>
      </c>
      <c r="I51" s="121">
        <v>1055030</v>
      </c>
      <c r="J51" s="115"/>
      <c r="K51" s="123"/>
      <c r="L51" s="27"/>
      <c r="M51" s="27"/>
      <c r="N51" s="27"/>
      <c r="O51" s="27"/>
    </row>
    <row r="52" spans="1:15" s="28" customFormat="1" ht="14.25" x14ac:dyDescent="0.3">
      <c r="A52" s="116" t="s">
        <v>174</v>
      </c>
      <c r="B52" s="117" t="s">
        <v>104</v>
      </c>
      <c r="C52" s="119">
        <v>43241</v>
      </c>
      <c r="D52" s="119">
        <v>43272</v>
      </c>
      <c r="E52" s="118">
        <v>6960</v>
      </c>
      <c r="F52" s="124">
        <v>441.7</v>
      </c>
      <c r="G52" s="120">
        <v>0</v>
      </c>
      <c r="H52" s="125" t="s">
        <v>135</v>
      </c>
      <c r="I52" s="121">
        <v>3074230</v>
      </c>
      <c r="J52" s="115"/>
      <c r="K52" s="123"/>
      <c r="L52" s="27"/>
      <c r="M52" s="27"/>
      <c r="N52" s="27"/>
      <c r="O52" s="27"/>
    </row>
    <row r="53" spans="1:15" s="28" customFormat="1" ht="14.25" x14ac:dyDescent="0.3">
      <c r="A53" s="37" t="s">
        <v>175</v>
      </c>
      <c r="B53" s="38" t="s">
        <v>106</v>
      </c>
      <c r="C53" s="40">
        <v>43238</v>
      </c>
      <c r="D53" s="40">
        <v>43269</v>
      </c>
      <c r="E53" s="39">
        <v>2214</v>
      </c>
      <c r="F53" s="41">
        <v>441.7</v>
      </c>
      <c r="G53" s="109">
        <v>0</v>
      </c>
      <c r="H53" s="43" t="s">
        <v>135</v>
      </c>
      <c r="I53" s="44">
        <v>977930</v>
      </c>
      <c r="J53" s="122"/>
      <c r="K53" s="27"/>
      <c r="L53" s="27"/>
      <c r="M53" s="27"/>
      <c r="N53" s="27"/>
      <c r="O53" s="27"/>
    </row>
    <row r="54" spans="1:15" s="28" customFormat="1" ht="14.25" x14ac:dyDescent="0.3">
      <c r="A54" s="37" t="s">
        <v>176</v>
      </c>
      <c r="B54" s="38" t="s">
        <v>108</v>
      </c>
      <c r="C54" s="40">
        <v>43242</v>
      </c>
      <c r="D54" s="40">
        <v>43272</v>
      </c>
      <c r="E54" s="39">
        <v>4233</v>
      </c>
      <c r="F54" s="41">
        <v>408.53</v>
      </c>
      <c r="G54" s="109">
        <v>0</v>
      </c>
      <c r="H54" s="43" t="s">
        <v>135</v>
      </c>
      <c r="I54" s="44">
        <v>1741330</v>
      </c>
      <c r="J54" s="126"/>
      <c r="K54" s="27"/>
      <c r="L54" s="27"/>
      <c r="M54" s="27"/>
      <c r="N54" s="27"/>
      <c r="O54" s="27"/>
    </row>
    <row r="55" spans="1:15" s="28" customFormat="1" ht="14.25" x14ac:dyDescent="0.3">
      <c r="A55" s="116" t="s">
        <v>177</v>
      </c>
      <c r="B55" s="117" t="s">
        <v>110</v>
      </c>
      <c r="C55" s="119">
        <v>43241</v>
      </c>
      <c r="D55" s="119">
        <v>43272</v>
      </c>
      <c r="E55" s="118">
        <v>9680</v>
      </c>
      <c r="F55" s="124">
        <v>408.53</v>
      </c>
      <c r="G55" s="120">
        <v>0</v>
      </c>
      <c r="H55" s="125" t="s">
        <v>135</v>
      </c>
      <c r="I55" s="121">
        <v>3954570</v>
      </c>
      <c r="J55" s="115"/>
      <c r="K55" s="123"/>
      <c r="L55" s="27"/>
      <c r="M55" s="27"/>
      <c r="N55" s="27"/>
      <c r="O55" s="27"/>
    </row>
    <row r="56" spans="1:15" s="27" customFormat="1" ht="14.25" x14ac:dyDescent="0.3">
      <c r="A56" s="37" t="s">
        <v>178</v>
      </c>
      <c r="B56" s="38" t="s">
        <v>112</v>
      </c>
      <c r="C56" s="40">
        <v>43243</v>
      </c>
      <c r="D56" s="40">
        <v>43273</v>
      </c>
      <c r="E56" s="39">
        <v>1440</v>
      </c>
      <c r="F56" s="41">
        <v>441.7</v>
      </c>
      <c r="G56" s="109">
        <v>0</v>
      </c>
      <c r="H56" s="43" t="s">
        <v>135</v>
      </c>
      <c r="I56" s="44">
        <v>636050</v>
      </c>
      <c r="J56" s="122"/>
    </row>
    <row r="57" spans="1:15" s="27" customFormat="1" ht="14.25" x14ac:dyDescent="0.3">
      <c r="A57" s="37" t="s">
        <v>179</v>
      </c>
      <c r="B57" s="38" t="s">
        <v>114</v>
      </c>
      <c r="C57" s="40">
        <v>43225</v>
      </c>
      <c r="D57" s="40">
        <v>43274</v>
      </c>
      <c r="E57" s="39">
        <v>7280</v>
      </c>
      <c r="F57" s="41">
        <v>408.53</v>
      </c>
      <c r="G57" s="109">
        <v>0</v>
      </c>
      <c r="H57" s="43" t="s">
        <v>135</v>
      </c>
      <c r="I57" s="44">
        <v>2974100</v>
      </c>
      <c r="J57" s="126"/>
    </row>
    <row r="58" spans="1:15" s="27" customFormat="1" ht="14.25" x14ac:dyDescent="0.3">
      <c r="A58" s="129" t="s">
        <v>217</v>
      </c>
      <c r="B58" s="130" t="s">
        <v>218</v>
      </c>
      <c r="C58" s="132">
        <v>43244</v>
      </c>
      <c r="D58" s="132">
        <v>43274</v>
      </c>
      <c r="E58" s="131">
        <v>880</v>
      </c>
      <c r="F58" s="133">
        <v>377.78</v>
      </c>
      <c r="G58" s="134">
        <v>0</v>
      </c>
      <c r="H58" s="132" t="s">
        <v>135</v>
      </c>
      <c r="I58" s="135">
        <v>712280</v>
      </c>
      <c r="J58" s="122"/>
    </row>
    <row r="59" spans="1:15" s="27" customFormat="1" ht="14.25" x14ac:dyDescent="0.3">
      <c r="A59" s="116" t="s">
        <v>227</v>
      </c>
      <c r="B59" s="117" t="s">
        <v>228</v>
      </c>
      <c r="C59" s="119">
        <v>43241</v>
      </c>
      <c r="D59" s="119">
        <v>43271</v>
      </c>
      <c r="E59" s="118">
        <v>12760</v>
      </c>
      <c r="F59" s="124">
        <v>377.78</v>
      </c>
      <c r="G59" s="120">
        <v>57135.93</v>
      </c>
      <c r="H59" s="125" t="s">
        <v>135</v>
      </c>
      <c r="I59" s="121">
        <v>7953710</v>
      </c>
      <c r="J59" s="115"/>
      <c r="K59" s="123"/>
    </row>
    <row r="60" spans="1:15" s="27" customFormat="1" ht="14.25" x14ac:dyDescent="0.3">
      <c r="A60" s="319" t="s">
        <v>198</v>
      </c>
      <c r="B60" s="319" t="s">
        <v>4</v>
      </c>
      <c r="C60" s="319" t="s">
        <v>6</v>
      </c>
      <c r="D60" s="319"/>
      <c r="E60" s="36" t="s">
        <v>7</v>
      </c>
      <c r="F60" s="36" t="s">
        <v>132</v>
      </c>
      <c r="G60" s="319" t="s">
        <v>133</v>
      </c>
      <c r="H60" s="319" t="s">
        <v>134</v>
      </c>
      <c r="I60" s="320" t="s">
        <v>11</v>
      </c>
      <c r="J60" s="71"/>
    </row>
    <row r="61" spans="1:15" s="27" customFormat="1" ht="14.25" x14ac:dyDescent="0.3">
      <c r="A61" s="319"/>
      <c r="B61" s="319"/>
      <c r="C61" s="36" t="s">
        <v>15</v>
      </c>
      <c r="D61" s="36" t="s">
        <v>16</v>
      </c>
      <c r="E61" s="36" t="s">
        <v>17</v>
      </c>
      <c r="F61" s="36" t="s">
        <v>17</v>
      </c>
      <c r="G61" s="319"/>
      <c r="H61" s="319"/>
      <c r="I61" s="320"/>
      <c r="J61" s="71"/>
    </row>
    <row r="62" spans="1:15" s="27" customFormat="1" ht="14.25" x14ac:dyDescent="0.3">
      <c r="A62" s="37" t="s">
        <v>159</v>
      </c>
      <c r="B62" s="38" t="s">
        <v>75</v>
      </c>
      <c r="C62" s="40" t="s">
        <v>171</v>
      </c>
      <c r="D62" s="40" t="s">
        <v>171</v>
      </c>
      <c r="E62" s="39">
        <v>0</v>
      </c>
      <c r="F62" s="39">
        <v>0</v>
      </c>
      <c r="G62" s="109">
        <v>0</v>
      </c>
      <c r="H62" s="40" t="s">
        <v>171</v>
      </c>
      <c r="I62" s="44">
        <v>0</v>
      </c>
      <c r="J62" s="122"/>
    </row>
    <row r="63" spans="1:15" s="27" customFormat="1" ht="14.25" x14ac:dyDescent="0.3">
      <c r="A63" s="116" t="s">
        <v>149</v>
      </c>
      <c r="B63" s="117" t="s">
        <v>55</v>
      </c>
      <c r="C63" s="119">
        <v>43240</v>
      </c>
      <c r="D63" s="119">
        <v>43272</v>
      </c>
      <c r="E63" s="118">
        <v>49</v>
      </c>
      <c r="F63" s="124">
        <v>441.7</v>
      </c>
      <c r="G63" s="120">
        <v>0</v>
      </c>
      <c r="H63" s="125" t="s">
        <v>135</v>
      </c>
      <c r="I63" s="121">
        <v>21640</v>
      </c>
      <c r="J63" s="126"/>
      <c r="K63" s="123"/>
    </row>
    <row r="64" spans="1:15" s="27" customFormat="1" ht="14.25" x14ac:dyDescent="0.3">
      <c r="A64" s="37" t="s">
        <v>150</v>
      </c>
      <c r="B64" s="38" t="s">
        <v>57</v>
      </c>
      <c r="C64" s="40">
        <v>43240</v>
      </c>
      <c r="D64" s="40">
        <v>43272</v>
      </c>
      <c r="E64" s="39">
        <v>0</v>
      </c>
      <c r="F64" s="41">
        <v>0</v>
      </c>
      <c r="G64" s="109">
        <v>0</v>
      </c>
      <c r="H64" s="43" t="s">
        <v>135</v>
      </c>
      <c r="I64" s="44">
        <v>0</v>
      </c>
      <c r="J64" s="126"/>
    </row>
    <row r="65" spans="1:10" s="27" customFormat="1" ht="14.25" x14ac:dyDescent="0.3">
      <c r="A65" s="37" t="s">
        <v>165</v>
      </c>
      <c r="B65" s="49" t="s">
        <v>87</v>
      </c>
      <c r="C65" s="40">
        <v>43241</v>
      </c>
      <c r="D65" s="40">
        <v>43271</v>
      </c>
      <c r="E65" s="39">
        <v>0</v>
      </c>
      <c r="F65" s="41">
        <v>0</v>
      </c>
      <c r="G65" s="109">
        <v>0</v>
      </c>
      <c r="H65" s="43" t="s">
        <v>136</v>
      </c>
      <c r="I65" s="44">
        <v>0</v>
      </c>
      <c r="J65" s="122"/>
    </row>
    <row r="66" spans="1:10" s="27" customFormat="1" ht="15" customHeight="1" x14ac:dyDescent="0.3">
      <c r="A66" s="62"/>
      <c r="B66" s="63"/>
      <c r="C66" s="65"/>
      <c r="D66" s="65"/>
      <c r="E66" s="103">
        <f>SUM(E9:E65)</f>
        <v>904072</v>
      </c>
      <c r="F66" s="103">
        <f>SUM(E9:E59)</f>
        <v>904023</v>
      </c>
      <c r="G66" s="113"/>
      <c r="H66" s="68"/>
      <c r="I66" s="105"/>
      <c r="J66" s="71"/>
    </row>
    <row r="67" spans="1:10" s="27" customFormat="1" ht="15" customHeight="1" x14ac:dyDescent="0.3">
      <c r="A67" s="340" t="s">
        <v>229</v>
      </c>
      <c r="B67" s="340"/>
      <c r="C67" s="340"/>
      <c r="D67" s="340"/>
      <c r="E67" s="340"/>
      <c r="F67" s="342" t="s">
        <v>200</v>
      </c>
      <c r="G67" s="342"/>
      <c r="H67" s="342"/>
      <c r="I67" s="106">
        <f>SUM(I9:I59)</f>
        <v>357380010</v>
      </c>
      <c r="J67" s="71"/>
    </row>
    <row r="68" spans="1:10" s="27" customFormat="1" ht="15" customHeight="1" x14ac:dyDescent="0.3">
      <c r="A68" s="340"/>
      <c r="B68" s="340"/>
      <c r="C68" s="340"/>
      <c r="D68" s="340"/>
      <c r="E68" s="340"/>
      <c r="F68" s="342" t="s">
        <v>201</v>
      </c>
      <c r="G68" s="342"/>
      <c r="H68" s="342"/>
      <c r="I68" s="106">
        <f>SUM(I62:I65)</f>
        <v>21640</v>
      </c>
      <c r="J68" s="71"/>
    </row>
    <row r="69" spans="1:10" s="27" customFormat="1" ht="15" customHeight="1" x14ac:dyDescent="0.3">
      <c r="A69" s="340"/>
      <c r="B69" s="340"/>
      <c r="C69" s="340"/>
      <c r="D69" s="340"/>
      <c r="E69" s="340"/>
      <c r="F69" s="342"/>
      <c r="G69" s="342"/>
      <c r="H69" s="342"/>
      <c r="I69" s="106"/>
      <c r="J69" s="71"/>
    </row>
    <row r="70" spans="1:10" s="27" customFormat="1" ht="15" customHeight="1" x14ac:dyDescent="0.3">
      <c r="A70" s="341"/>
      <c r="B70" s="341"/>
      <c r="C70" s="341"/>
      <c r="D70" s="341"/>
      <c r="E70" s="341"/>
      <c r="F70" s="343" t="s">
        <v>203</v>
      </c>
      <c r="G70" s="343"/>
      <c r="H70" s="343"/>
      <c r="I70" s="107">
        <f>SUM(I67:I69)</f>
        <v>357401650</v>
      </c>
      <c r="J70" s="71"/>
    </row>
    <row r="71" spans="1:10" s="27" customFormat="1" ht="15" customHeight="1" x14ac:dyDescent="0.3">
      <c r="B71" s="70"/>
      <c r="C71" s="70"/>
      <c r="D71" s="71"/>
      <c r="E71" s="72"/>
      <c r="J71" s="71"/>
    </row>
    <row r="72" spans="1:10" s="27" customFormat="1" ht="15" customHeight="1" x14ac:dyDescent="0.3">
      <c r="B72" s="70"/>
      <c r="C72" s="72"/>
      <c r="D72" s="72"/>
      <c r="E72" s="77"/>
      <c r="F72" s="77"/>
      <c r="I72" s="136"/>
      <c r="J72" s="34"/>
    </row>
    <row r="73" spans="1:10" s="27" customFormat="1" ht="14.25" x14ac:dyDescent="0.3">
      <c r="A73" s="27" t="s">
        <v>185</v>
      </c>
      <c r="B73" s="70"/>
      <c r="C73" s="72"/>
      <c r="D73" s="72"/>
      <c r="E73" s="81"/>
      <c r="F73" s="81"/>
      <c r="J73" s="34"/>
    </row>
    <row r="74" spans="1:10" s="27" customFormat="1" ht="14.25" x14ac:dyDescent="0.3">
      <c r="A74" s="83" t="s">
        <v>186</v>
      </c>
      <c r="B74" s="84"/>
      <c r="C74" s="84"/>
      <c r="D74" s="85"/>
      <c r="E74" s="85"/>
      <c r="F74" s="85"/>
      <c r="G74" s="114"/>
      <c r="H74" s="85"/>
      <c r="I74" s="85"/>
      <c r="J74" s="34"/>
    </row>
    <row r="75" spans="1:10" s="27" customFormat="1" ht="14.25" x14ac:dyDescent="0.3">
      <c r="A75" s="86" t="s">
        <v>187</v>
      </c>
      <c r="B75" s="84"/>
      <c r="C75" s="84"/>
      <c r="D75" s="85"/>
      <c r="E75" s="85"/>
      <c r="F75" s="85"/>
      <c r="G75" s="114"/>
      <c r="H75" s="85"/>
      <c r="I75" s="137"/>
      <c r="J75" s="34"/>
    </row>
    <row r="76" spans="1:10" s="27" customFormat="1" ht="14.25" x14ac:dyDescent="0.3">
      <c r="A76" s="80"/>
      <c r="B76" s="80"/>
      <c r="C76" s="80"/>
      <c r="D76" s="80"/>
      <c r="E76" s="80"/>
      <c r="F76" s="80"/>
      <c r="G76" s="34"/>
      <c r="H76" s="80"/>
      <c r="I76" s="80"/>
      <c r="J76" s="71"/>
    </row>
    <row r="77" spans="1:10" s="27" customFormat="1" ht="14.25" x14ac:dyDescent="0.3">
      <c r="A77" s="80"/>
      <c r="B77" s="80"/>
      <c r="C77" s="80"/>
      <c r="D77" s="80"/>
      <c r="E77" s="80"/>
      <c r="F77" s="80"/>
      <c r="G77" s="34"/>
      <c r="H77" s="80"/>
      <c r="I77" s="80"/>
      <c r="J77" s="71"/>
    </row>
    <row r="78" spans="1:10" s="27" customFormat="1" ht="14.25" x14ac:dyDescent="0.3">
      <c r="A78" s="80"/>
      <c r="B78" s="80"/>
      <c r="C78" s="80"/>
      <c r="D78" s="80"/>
      <c r="E78" s="80"/>
      <c r="F78" s="80"/>
      <c r="G78" s="34"/>
      <c r="H78" s="80"/>
      <c r="I78" s="80"/>
      <c r="J78" s="71"/>
    </row>
    <row r="79" spans="1:10" s="27" customFormat="1" ht="14.25" x14ac:dyDescent="0.3">
      <c r="A79" s="80"/>
      <c r="B79" s="80"/>
      <c r="C79" s="80"/>
      <c r="D79" s="80"/>
      <c r="E79" s="80"/>
      <c r="F79" s="80"/>
      <c r="G79" s="34"/>
      <c r="H79" s="80"/>
      <c r="I79" s="80"/>
      <c r="J79" s="71"/>
    </row>
    <row r="80" spans="1:10" s="27" customFormat="1" ht="14.25" x14ac:dyDescent="0.3">
      <c r="A80" s="80"/>
      <c r="B80" s="80"/>
      <c r="C80" s="80"/>
      <c r="D80" s="80"/>
      <c r="E80" s="80"/>
      <c r="F80" s="80"/>
      <c r="G80" s="34"/>
      <c r="H80" s="80"/>
      <c r="I80" s="80"/>
      <c r="J80" s="71"/>
    </row>
    <row r="81" spans="1:10" s="27" customFormat="1" ht="14.25" x14ac:dyDescent="0.3">
      <c r="A81" s="80"/>
      <c r="B81" s="80"/>
      <c r="C81" s="80"/>
      <c r="D81" s="80"/>
      <c r="E81" s="80"/>
      <c r="F81" s="80"/>
      <c r="G81" s="34"/>
      <c r="H81" s="80"/>
      <c r="I81" s="80"/>
      <c r="J81" s="71"/>
    </row>
  </sheetData>
  <mergeCells count="26">
    <mergeCell ref="A67:E70"/>
    <mergeCell ref="F67:H67"/>
    <mergeCell ref="F68:H68"/>
    <mergeCell ref="F69:H69"/>
    <mergeCell ref="F70:H70"/>
    <mergeCell ref="I7:I8"/>
    <mergeCell ref="J7:J8"/>
    <mergeCell ref="A60:A61"/>
    <mergeCell ref="B60:B61"/>
    <mergeCell ref="C60:D60"/>
    <mergeCell ref="G60:G61"/>
    <mergeCell ref="H60:H61"/>
    <mergeCell ref="I60:I61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7"/>
  <sheetViews>
    <sheetView workbookViewId="0">
      <selection activeCell="B30" sqref="B30"/>
    </sheetView>
  </sheetViews>
  <sheetFormatPr baseColWidth="10" defaultRowHeight="15" x14ac:dyDescent="0.25"/>
  <cols>
    <col min="1" max="1" width="32" customWidth="1"/>
    <col min="2" max="2" width="28.42578125" customWidth="1"/>
    <col min="3" max="6" width="15.140625" customWidth="1"/>
    <col min="7" max="7" width="17.28515625" customWidth="1"/>
    <col min="8" max="8" width="17" customWidth="1"/>
    <col min="9" max="9" width="18" customWidth="1"/>
    <col min="10" max="10" width="13.28515625" customWidth="1"/>
    <col min="11" max="11" width="25.7109375" customWidth="1"/>
    <col min="12" max="12" width="22.140625" bestFit="1" customWidth="1"/>
  </cols>
  <sheetData>
    <row r="1" spans="1:15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71"/>
      <c r="K1" s="71"/>
      <c r="L1" s="27"/>
      <c r="M1" s="27"/>
      <c r="N1" s="27"/>
      <c r="O1" s="27"/>
    </row>
    <row r="2" spans="1:15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71"/>
      <c r="K2" s="138"/>
    </row>
    <row r="3" spans="1:15" s="27" customFormat="1" ht="14.25" x14ac:dyDescent="0.3">
      <c r="C3" s="332" t="s">
        <v>204</v>
      </c>
      <c r="D3" s="332"/>
      <c r="E3" s="87" t="s">
        <v>121</v>
      </c>
      <c r="F3" s="333" t="s">
        <v>230</v>
      </c>
      <c r="G3" s="334"/>
      <c r="H3" s="334"/>
      <c r="I3" s="335"/>
      <c r="J3" s="71"/>
      <c r="K3" s="71"/>
      <c r="L3" s="31"/>
    </row>
    <row r="4" spans="1:15" s="27" customFormat="1" ht="14.25" x14ac:dyDescent="0.3">
      <c r="C4" s="336" t="s">
        <v>231</v>
      </c>
      <c r="D4" s="336"/>
      <c r="E4" s="326" t="s">
        <v>125</v>
      </c>
      <c r="F4" s="87" t="s">
        <v>190</v>
      </c>
      <c r="G4" s="332"/>
      <c r="H4" s="332"/>
      <c r="I4" s="332"/>
      <c r="J4" s="71"/>
      <c r="K4" s="71"/>
    </row>
    <row r="5" spans="1:15" s="27" customFormat="1" ht="14.25" x14ac:dyDescent="0.3">
      <c r="C5" s="337" t="s">
        <v>208</v>
      </c>
      <c r="D5" s="338"/>
      <c r="E5" s="326"/>
      <c r="F5" s="108" t="s">
        <v>192</v>
      </c>
      <c r="G5" s="345" t="s">
        <v>232</v>
      </c>
      <c r="H5" s="339"/>
      <c r="I5" s="339"/>
      <c r="J5" s="71"/>
      <c r="K5" s="71"/>
    </row>
    <row r="6" spans="1:15" s="27" customFormat="1" ht="14.25" x14ac:dyDescent="0.3">
      <c r="B6" s="34"/>
      <c r="C6" s="34"/>
      <c r="D6" s="35"/>
      <c r="G6" s="71"/>
      <c r="H6" s="34"/>
      <c r="I6" s="26"/>
      <c r="J6" s="71"/>
      <c r="K6" s="71"/>
    </row>
    <row r="7" spans="1:15" s="28" customFormat="1" ht="15" customHeight="1" x14ac:dyDescent="0.3">
      <c r="A7" s="319" t="s">
        <v>225</v>
      </c>
      <c r="B7" s="319" t="s">
        <v>226</v>
      </c>
      <c r="C7" s="319" t="s">
        <v>6</v>
      </c>
      <c r="D7" s="319"/>
      <c r="E7" s="36" t="s">
        <v>7</v>
      </c>
      <c r="F7" s="36" t="s">
        <v>132</v>
      </c>
      <c r="G7" s="319" t="s">
        <v>133</v>
      </c>
      <c r="H7" s="319" t="s">
        <v>134</v>
      </c>
      <c r="I7" s="320" t="s">
        <v>11</v>
      </c>
      <c r="J7" s="346"/>
      <c r="K7" s="346"/>
      <c r="L7" s="27"/>
      <c r="M7" s="27"/>
      <c r="N7" s="27"/>
      <c r="O7" s="27"/>
    </row>
    <row r="8" spans="1:15" s="28" customFormat="1" ht="14.25" x14ac:dyDescent="0.3">
      <c r="A8" s="319"/>
      <c r="B8" s="319"/>
      <c r="C8" s="36" t="s">
        <v>15</v>
      </c>
      <c r="D8" s="36" t="s">
        <v>16</v>
      </c>
      <c r="E8" s="36" t="s">
        <v>17</v>
      </c>
      <c r="F8" s="36" t="s">
        <v>17</v>
      </c>
      <c r="G8" s="319"/>
      <c r="H8" s="319"/>
      <c r="I8" s="320"/>
      <c r="J8" s="346"/>
      <c r="K8" s="346"/>
      <c r="L8" s="27"/>
      <c r="M8" s="27"/>
      <c r="N8" s="27"/>
      <c r="O8" s="27"/>
    </row>
    <row r="9" spans="1:15" s="28" customFormat="1" ht="14.25" x14ac:dyDescent="0.3">
      <c r="A9" s="116" t="s">
        <v>18</v>
      </c>
      <c r="B9" s="117" t="s">
        <v>19</v>
      </c>
      <c r="C9" s="119">
        <v>43265</v>
      </c>
      <c r="D9" s="119">
        <v>43297</v>
      </c>
      <c r="E9" s="118">
        <v>87360</v>
      </c>
      <c r="F9" s="124">
        <v>374.9</v>
      </c>
      <c r="G9" s="120">
        <v>0</v>
      </c>
      <c r="H9" s="125" t="s">
        <v>135</v>
      </c>
      <c r="I9" s="121">
        <v>32801550</v>
      </c>
      <c r="J9" s="139"/>
      <c r="K9" s="33"/>
      <c r="L9" s="27"/>
      <c r="M9" s="27"/>
      <c r="N9" s="27"/>
      <c r="O9" s="27"/>
    </row>
    <row r="10" spans="1:15" s="28" customFormat="1" ht="14.25" x14ac:dyDescent="0.3">
      <c r="A10" s="347" t="s">
        <v>20</v>
      </c>
      <c r="B10" s="349" t="s">
        <v>19</v>
      </c>
      <c r="C10" s="40">
        <v>43242</v>
      </c>
      <c r="D10" s="40">
        <v>43272</v>
      </c>
      <c r="E10" s="39">
        <v>2351</v>
      </c>
      <c r="F10" s="41">
        <v>441.7</v>
      </c>
      <c r="G10" s="109">
        <v>0</v>
      </c>
      <c r="H10" s="40" t="s">
        <v>233</v>
      </c>
      <c r="I10" s="44">
        <v>1038430</v>
      </c>
      <c r="J10" s="140"/>
      <c r="K10" s="33"/>
      <c r="L10" s="27"/>
      <c r="M10" s="27"/>
      <c r="N10" s="27"/>
      <c r="O10" s="27"/>
    </row>
    <row r="11" spans="1:15" s="28" customFormat="1" ht="14.25" x14ac:dyDescent="0.3">
      <c r="A11" s="348"/>
      <c r="B11" s="350"/>
      <c r="C11" s="40">
        <v>43272</v>
      </c>
      <c r="D11" s="40">
        <v>43305</v>
      </c>
      <c r="E11" s="39">
        <v>2509</v>
      </c>
      <c r="F11" s="41">
        <v>448.89</v>
      </c>
      <c r="G11" s="109">
        <v>0</v>
      </c>
      <c r="H11" s="40" t="s">
        <v>233</v>
      </c>
      <c r="I11" s="44">
        <v>1126270</v>
      </c>
      <c r="J11" s="140"/>
      <c r="K11" s="33"/>
      <c r="L11" s="27"/>
      <c r="M11" s="27"/>
      <c r="N11" s="27"/>
      <c r="O11" s="27"/>
    </row>
    <row r="12" spans="1:15" s="28" customFormat="1" ht="14.25" x14ac:dyDescent="0.3">
      <c r="A12" s="37" t="s">
        <v>21</v>
      </c>
      <c r="B12" s="38" t="s">
        <v>19</v>
      </c>
      <c r="C12" s="40">
        <v>43265</v>
      </c>
      <c r="D12" s="40">
        <v>43297</v>
      </c>
      <c r="E12" s="39">
        <v>0</v>
      </c>
      <c r="F12" s="41">
        <v>0</v>
      </c>
      <c r="G12" s="110">
        <v>0</v>
      </c>
      <c r="H12" s="43" t="s">
        <v>135</v>
      </c>
      <c r="I12" s="44">
        <v>0</v>
      </c>
      <c r="J12" s="141"/>
      <c r="K12" s="33"/>
      <c r="L12" s="27"/>
      <c r="M12" s="27"/>
      <c r="N12" s="27"/>
      <c r="O12" s="27"/>
    </row>
    <row r="13" spans="1:15" s="28" customFormat="1" ht="14.25" x14ac:dyDescent="0.3">
      <c r="A13" s="37" t="s">
        <v>22</v>
      </c>
      <c r="B13" s="38" t="s">
        <v>19</v>
      </c>
      <c r="C13" s="40">
        <v>43235</v>
      </c>
      <c r="D13" s="40">
        <v>43297</v>
      </c>
      <c r="E13" s="39">
        <v>0</v>
      </c>
      <c r="F13" s="41">
        <v>0</v>
      </c>
      <c r="G13" s="109">
        <v>0</v>
      </c>
      <c r="H13" s="40" t="s">
        <v>135</v>
      </c>
      <c r="I13" s="44">
        <v>0</v>
      </c>
      <c r="J13" s="142"/>
      <c r="K13" s="33"/>
      <c r="L13" s="143"/>
      <c r="M13" s="27"/>
      <c r="N13" s="27"/>
      <c r="O13" s="27"/>
    </row>
    <row r="14" spans="1:15" s="28" customFormat="1" ht="14.25" x14ac:dyDescent="0.3">
      <c r="A14" s="116" t="s">
        <v>23</v>
      </c>
      <c r="B14" s="117" t="s">
        <v>24</v>
      </c>
      <c r="C14" s="119">
        <v>43271</v>
      </c>
      <c r="D14" s="119">
        <v>43304</v>
      </c>
      <c r="E14" s="118">
        <v>11840</v>
      </c>
      <c r="F14" s="124">
        <v>415.43</v>
      </c>
      <c r="G14" s="120">
        <v>0</v>
      </c>
      <c r="H14" s="125" t="s">
        <v>135</v>
      </c>
      <c r="I14" s="121">
        <v>427060</v>
      </c>
      <c r="J14" s="139"/>
      <c r="K14" s="33"/>
      <c r="L14" s="27"/>
      <c r="M14" s="27"/>
      <c r="N14" s="27"/>
      <c r="O14" s="27"/>
    </row>
    <row r="15" spans="1:15" s="28" customFormat="1" ht="14.25" x14ac:dyDescent="0.3">
      <c r="A15" s="116" t="s">
        <v>25</v>
      </c>
      <c r="B15" s="117" t="s">
        <v>24</v>
      </c>
      <c r="C15" s="119">
        <v>43271</v>
      </c>
      <c r="D15" s="119">
        <v>43304</v>
      </c>
      <c r="E15" s="118">
        <v>17220</v>
      </c>
      <c r="F15" s="124">
        <v>415.43</v>
      </c>
      <c r="G15" s="120">
        <v>0</v>
      </c>
      <c r="H15" s="125" t="s">
        <v>135</v>
      </c>
      <c r="I15" s="121">
        <v>7153708</v>
      </c>
      <c r="J15" s="140"/>
      <c r="K15" s="33"/>
      <c r="L15" s="27"/>
      <c r="M15" s="27"/>
      <c r="N15" s="27"/>
      <c r="O15" s="27"/>
    </row>
    <row r="16" spans="1:15" s="28" customFormat="1" ht="14.25" x14ac:dyDescent="0.3">
      <c r="A16" s="116" t="s">
        <v>26</v>
      </c>
      <c r="B16" s="117" t="s">
        <v>24</v>
      </c>
      <c r="C16" s="119">
        <v>43273</v>
      </c>
      <c r="D16" s="119">
        <v>43305</v>
      </c>
      <c r="E16" s="118">
        <v>7059</v>
      </c>
      <c r="F16" s="124">
        <v>448.89</v>
      </c>
      <c r="G16" s="120">
        <v>0</v>
      </c>
      <c r="H16" s="125" t="s">
        <v>135</v>
      </c>
      <c r="I16" s="121">
        <v>3168720</v>
      </c>
      <c r="J16" s="140"/>
      <c r="K16" s="33"/>
      <c r="L16" s="27"/>
      <c r="M16" s="27"/>
      <c r="N16" s="27"/>
      <c r="O16" s="27"/>
    </row>
    <row r="17" spans="1:15" s="28" customFormat="1" ht="14.25" x14ac:dyDescent="0.3">
      <c r="A17" s="116" t="s">
        <v>27</v>
      </c>
      <c r="B17" s="117" t="s">
        <v>24</v>
      </c>
      <c r="C17" s="119">
        <v>43273</v>
      </c>
      <c r="D17" s="119">
        <v>43305</v>
      </c>
      <c r="E17" s="118">
        <v>2544</v>
      </c>
      <c r="F17" s="124">
        <v>448.38900000000001</v>
      </c>
      <c r="G17" s="120">
        <v>0</v>
      </c>
      <c r="H17" s="125" t="s">
        <v>233</v>
      </c>
      <c r="I17" s="121">
        <v>1141980</v>
      </c>
      <c r="J17" s="140"/>
      <c r="K17" s="33"/>
      <c r="L17" s="27"/>
      <c r="M17" s="27"/>
      <c r="N17" s="27"/>
      <c r="O17" s="27"/>
    </row>
    <row r="18" spans="1:15" s="28" customFormat="1" ht="14.25" x14ac:dyDescent="0.3">
      <c r="A18" s="116" t="s">
        <v>28</v>
      </c>
      <c r="B18" s="117" t="s">
        <v>24</v>
      </c>
      <c r="C18" s="119">
        <v>43273</v>
      </c>
      <c r="D18" s="119">
        <v>43305</v>
      </c>
      <c r="E18" s="118">
        <v>3932</v>
      </c>
      <c r="F18" s="124">
        <v>415.43</v>
      </c>
      <c r="G18" s="120">
        <v>0</v>
      </c>
      <c r="H18" s="125" t="s">
        <v>135</v>
      </c>
      <c r="I18" s="144">
        <v>1633470</v>
      </c>
      <c r="J18" s="139"/>
      <c r="K18" s="33"/>
      <c r="L18" s="27"/>
      <c r="M18" s="27"/>
      <c r="N18" s="27"/>
      <c r="O18" s="27"/>
    </row>
    <row r="19" spans="1:15" s="28" customFormat="1" ht="14.25" x14ac:dyDescent="0.3">
      <c r="A19" s="116" t="s">
        <v>29</v>
      </c>
      <c r="B19" s="117" t="s">
        <v>24</v>
      </c>
      <c r="C19" s="119">
        <v>43271</v>
      </c>
      <c r="D19" s="119">
        <v>43304</v>
      </c>
      <c r="E19" s="118">
        <v>12880</v>
      </c>
      <c r="F19" s="124">
        <v>415.43</v>
      </c>
      <c r="G19" s="120">
        <v>0</v>
      </c>
      <c r="H19" s="145" t="s">
        <v>135</v>
      </c>
      <c r="I19" s="121">
        <v>5350738</v>
      </c>
      <c r="J19" s="139"/>
      <c r="K19" s="33"/>
      <c r="L19" s="27"/>
      <c r="M19" s="27"/>
      <c r="N19" s="27"/>
      <c r="O19" s="27"/>
    </row>
    <row r="20" spans="1:15" s="28" customFormat="1" ht="14.25" x14ac:dyDescent="0.3">
      <c r="A20" s="37" t="s">
        <v>137</v>
      </c>
      <c r="B20" s="49" t="s">
        <v>31</v>
      </c>
      <c r="C20" s="40">
        <v>43274</v>
      </c>
      <c r="D20" s="40">
        <v>43307</v>
      </c>
      <c r="E20" s="39">
        <v>39600</v>
      </c>
      <c r="F20" s="41">
        <v>381.41</v>
      </c>
      <c r="G20" s="109">
        <v>0</v>
      </c>
      <c r="H20" s="43" t="s">
        <v>135</v>
      </c>
      <c r="I20" s="44">
        <v>14823470</v>
      </c>
      <c r="J20" s="141"/>
      <c r="K20" s="33"/>
      <c r="L20" s="27"/>
      <c r="M20" s="27"/>
      <c r="N20" s="27"/>
      <c r="O20" s="27"/>
    </row>
    <row r="21" spans="1:15" s="28" customFormat="1" ht="14.25" x14ac:dyDescent="0.3">
      <c r="A21" s="37" t="s">
        <v>138</v>
      </c>
      <c r="B21" s="38" t="s">
        <v>33</v>
      </c>
      <c r="C21" s="40">
        <v>43242</v>
      </c>
      <c r="D21" s="40">
        <v>43271</v>
      </c>
      <c r="E21" s="39">
        <v>64680</v>
      </c>
      <c r="F21" s="41">
        <v>377.78</v>
      </c>
      <c r="G21" s="109">
        <v>0</v>
      </c>
      <c r="H21" s="43" t="s">
        <v>135</v>
      </c>
      <c r="I21" s="44">
        <v>24003090</v>
      </c>
      <c r="J21" s="141"/>
      <c r="K21" s="33"/>
      <c r="L21" s="27"/>
      <c r="M21" s="27"/>
      <c r="N21" s="27"/>
      <c r="O21" s="27"/>
    </row>
    <row r="22" spans="1:15" s="28" customFormat="1" ht="14.25" x14ac:dyDescent="0.3">
      <c r="A22" s="37" t="s">
        <v>139</v>
      </c>
      <c r="B22" s="38" t="s">
        <v>35</v>
      </c>
      <c r="C22" s="40">
        <v>43272</v>
      </c>
      <c r="D22" s="40">
        <v>43302</v>
      </c>
      <c r="E22" s="39">
        <v>42680</v>
      </c>
      <c r="F22" s="41">
        <v>377.81</v>
      </c>
      <c r="G22" s="109">
        <v>0</v>
      </c>
      <c r="H22" s="43" t="s">
        <v>135</v>
      </c>
      <c r="I22" s="44">
        <v>16026340</v>
      </c>
      <c r="J22" s="139"/>
      <c r="K22" s="33"/>
      <c r="L22" s="27"/>
      <c r="M22" s="27"/>
      <c r="N22" s="27"/>
      <c r="O22" s="27"/>
    </row>
    <row r="23" spans="1:15" s="28" customFormat="1" ht="14.25" x14ac:dyDescent="0.3">
      <c r="A23" s="37" t="s">
        <v>140</v>
      </c>
      <c r="B23" s="38" t="s">
        <v>37</v>
      </c>
      <c r="C23" s="40">
        <v>43267</v>
      </c>
      <c r="D23" s="40" t="s">
        <v>234</v>
      </c>
      <c r="E23" s="39">
        <v>58080</v>
      </c>
      <c r="F23" s="41">
        <v>381.41</v>
      </c>
      <c r="G23" s="109">
        <v>0</v>
      </c>
      <c r="H23" s="43" t="s">
        <v>135</v>
      </c>
      <c r="I23" s="44">
        <v>21743420</v>
      </c>
      <c r="J23" s="140"/>
      <c r="K23" s="33"/>
      <c r="L23" s="27"/>
      <c r="M23" s="27"/>
      <c r="N23" s="27"/>
      <c r="O23" s="27"/>
    </row>
    <row r="24" spans="1:15" s="28" customFormat="1" ht="14.25" x14ac:dyDescent="0.3">
      <c r="A24" s="37" t="s">
        <v>141</v>
      </c>
      <c r="B24" s="38" t="s">
        <v>39</v>
      </c>
      <c r="C24" s="40">
        <v>43244</v>
      </c>
      <c r="D24" s="40">
        <v>43274</v>
      </c>
      <c r="E24" s="39">
        <v>81180</v>
      </c>
      <c r="F24" s="41">
        <v>376.92</v>
      </c>
      <c r="G24" s="109">
        <v>0</v>
      </c>
      <c r="H24" s="43" t="s">
        <v>135</v>
      </c>
      <c r="I24" s="44">
        <v>30037090</v>
      </c>
      <c r="J24" s="139"/>
      <c r="K24" s="33"/>
      <c r="L24" s="27"/>
      <c r="M24" s="27"/>
      <c r="N24" s="27"/>
      <c r="O24" s="27"/>
    </row>
    <row r="25" spans="1:15" s="28" customFormat="1" ht="14.25" x14ac:dyDescent="0.3">
      <c r="A25" s="37" t="s">
        <v>142</v>
      </c>
      <c r="B25" s="38" t="s">
        <v>41</v>
      </c>
      <c r="C25" s="40">
        <v>43271</v>
      </c>
      <c r="D25" s="40">
        <v>43304</v>
      </c>
      <c r="E25" s="39">
        <v>178200</v>
      </c>
      <c r="F25" s="41">
        <v>377.81</v>
      </c>
      <c r="G25" s="109">
        <v>0</v>
      </c>
      <c r="H25" s="43" t="s">
        <v>135</v>
      </c>
      <c r="I25" s="44">
        <v>66916010</v>
      </c>
      <c r="J25" s="139"/>
      <c r="K25" s="33"/>
      <c r="L25" s="27"/>
      <c r="M25" s="27"/>
      <c r="N25" s="27"/>
      <c r="O25" s="27"/>
    </row>
    <row r="26" spans="1:15" s="27" customFormat="1" ht="14.25" x14ac:dyDescent="0.3">
      <c r="A26" s="116" t="s">
        <v>143</v>
      </c>
      <c r="B26" s="117" t="s">
        <v>43</v>
      </c>
      <c r="C26" s="119">
        <v>43274</v>
      </c>
      <c r="D26" s="119">
        <v>43306</v>
      </c>
      <c r="E26" s="118">
        <v>33880</v>
      </c>
      <c r="F26" s="124">
        <v>377.81</v>
      </c>
      <c r="G26" s="120">
        <v>0</v>
      </c>
      <c r="H26" s="125" t="s">
        <v>135</v>
      </c>
      <c r="I26" s="121">
        <v>12718259</v>
      </c>
      <c r="J26" s="140"/>
      <c r="K26" s="33"/>
    </row>
    <row r="27" spans="1:15" s="28" customFormat="1" ht="14.25" x14ac:dyDescent="0.3">
      <c r="A27" s="37" t="s">
        <v>144</v>
      </c>
      <c r="B27" s="38" t="s">
        <v>45</v>
      </c>
      <c r="C27" s="40">
        <v>43269</v>
      </c>
      <c r="D27" s="40">
        <v>43298</v>
      </c>
      <c r="E27" s="39">
        <v>41360</v>
      </c>
      <c r="F27" s="41">
        <v>377.81</v>
      </c>
      <c r="G27" s="109">
        <v>0</v>
      </c>
      <c r="H27" s="43" t="s">
        <v>135</v>
      </c>
      <c r="I27" s="44">
        <v>17506290</v>
      </c>
      <c r="J27" s="139"/>
      <c r="K27" s="33"/>
      <c r="L27" s="27"/>
      <c r="M27" s="27"/>
      <c r="N27" s="27"/>
      <c r="O27" s="27"/>
    </row>
    <row r="28" spans="1:15" s="28" customFormat="1" ht="14.25" x14ac:dyDescent="0.3">
      <c r="A28" s="116" t="s">
        <v>145</v>
      </c>
      <c r="B28" s="117" t="s">
        <v>47</v>
      </c>
      <c r="C28" s="119">
        <v>43272</v>
      </c>
      <c r="D28" s="146">
        <v>43305</v>
      </c>
      <c r="E28" s="118">
        <v>0</v>
      </c>
      <c r="F28" s="124">
        <v>0</v>
      </c>
      <c r="G28" s="120">
        <v>0</v>
      </c>
      <c r="H28" s="125" t="s">
        <v>233</v>
      </c>
      <c r="I28" s="121">
        <v>37000</v>
      </c>
      <c r="J28" s="141"/>
      <c r="K28" s="33"/>
      <c r="L28" s="27"/>
      <c r="M28" s="27"/>
      <c r="N28" s="27"/>
      <c r="O28" s="27"/>
    </row>
    <row r="29" spans="1:15" s="28" customFormat="1" ht="14.25" x14ac:dyDescent="0.3">
      <c r="A29" s="37" t="s">
        <v>146</v>
      </c>
      <c r="B29" s="38" t="s">
        <v>49</v>
      </c>
      <c r="C29" s="40">
        <v>43269</v>
      </c>
      <c r="D29" s="40">
        <v>43299</v>
      </c>
      <c r="E29" s="39">
        <v>1715</v>
      </c>
      <c r="F29" s="41">
        <v>448.89</v>
      </c>
      <c r="G29" s="109">
        <v>0</v>
      </c>
      <c r="H29" s="43" t="s">
        <v>135</v>
      </c>
      <c r="I29" s="44">
        <v>769840</v>
      </c>
      <c r="J29" s="141"/>
      <c r="K29" s="33"/>
      <c r="L29" s="27"/>
      <c r="M29" s="27"/>
      <c r="N29" s="27"/>
      <c r="O29" s="27"/>
    </row>
    <row r="30" spans="1:15" s="28" customFormat="1" ht="14.25" x14ac:dyDescent="0.3">
      <c r="A30" s="37" t="s">
        <v>147</v>
      </c>
      <c r="B30" s="38" t="s">
        <v>51</v>
      </c>
      <c r="C30" s="40">
        <v>43266</v>
      </c>
      <c r="D30" s="40">
        <v>43297</v>
      </c>
      <c r="E30" s="39">
        <v>176</v>
      </c>
      <c r="F30" s="41">
        <v>448.89</v>
      </c>
      <c r="G30" s="109">
        <v>0</v>
      </c>
      <c r="H30" s="43" t="s">
        <v>135</v>
      </c>
      <c r="I30" s="44">
        <v>79010</v>
      </c>
      <c r="J30" s="140"/>
      <c r="K30" s="33"/>
      <c r="L30" s="27"/>
      <c r="M30" s="27"/>
      <c r="N30" s="27"/>
      <c r="O30" s="27"/>
    </row>
    <row r="31" spans="1:15" s="28" customFormat="1" ht="14.25" x14ac:dyDescent="0.3">
      <c r="A31" s="37" t="s">
        <v>148</v>
      </c>
      <c r="B31" s="38" t="s">
        <v>53</v>
      </c>
      <c r="C31" s="40">
        <v>43270</v>
      </c>
      <c r="D31" s="40">
        <v>43299</v>
      </c>
      <c r="E31" s="39">
        <v>7920</v>
      </c>
      <c r="F31" s="41">
        <v>448.89</v>
      </c>
      <c r="G31" s="109">
        <v>0</v>
      </c>
      <c r="H31" s="43" t="s">
        <v>135</v>
      </c>
      <c r="I31" s="44">
        <v>3555200</v>
      </c>
      <c r="J31" s="140"/>
      <c r="K31" s="33"/>
      <c r="L31" s="27"/>
      <c r="M31" s="27"/>
      <c r="N31" s="27"/>
      <c r="O31" s="27"/>
    </row>
    <row r="32" spans="1:15" s="28" customFormat="1" ht="14.25" x14ac:dyDescent="0.3">
      <c r="A32" s="37" t="s">
        <v>151</v>
      </c>
      <c r="B32" s="38" t="s">
        <v>59</v>
      </c>
      <c r="C32" s="40">
        <v>43274</v>
      </c>
      <c r="D32" s="40">
        <v>43306</v>
      </c>
      <c r="E32" s="39">
        <v>6720</v>
      </c>
      <c r="F32" s="41">
        <v>448.89</v>
      </c>
      <c r="G32" s="109">
        <v>0</v>
      </c>
      <c r="H32" s="43" t="s">
        <v>135</v>
      </c>
      <c r="I32" s="44">
        <v>3016540</v>
      </c>
      <c r="J32" s="139"/>
      <c r="K32" s="33"/>
      <c r="L32" s="27"/>
      <c r="M32" s="27"/>
      <c r="N32" s="27"/>
      <c r="O32" s="27"/>
    </row>
    <row r="33" spans="1:15" s="27" customFormat="1" ht="14.25" x14ac:dyDescent="0.3">
      <c r="A33" s="116" t="s">
        <v>152</v>
      </c>
      <c r="B33" s="117" t="s">
        <v>61</v>
      </c>
      <c r="C33" s="119">
        <v>43266</v>
      </c>
      <c r="D33" s="119">
        <v>43297</v>
      </c>
      <c r="E33" s="118">
        <v>18560</v>
      </c>
      <c r="F33" s="124">
        <v>448.89</v>
      </c>
      <c r="G33" s="120">
        <v>0</v>
      </c>
      <c r="H33" s="125" t="s">
        <v>135</v>
      </c>
      <c r="I33" s="121">
        <v>8331396</v>
      </c>
      <c r="J33" s="139"/>
      <c r="K33" s="33"/>
    </row>
    <row r="34" spans="1:15" s="28" customFormat="1" ht="14.25" x14ac:dyDescent="0.3">
      <c r="A34" s="37" t="s">
        <v>153</v>
      </c>
      <c r="B34" s="49" t="s">
        <v>63</v>
      </c>
      <c r="C34" s="40">
        <v>43270</v>
      </c>
      <c r="D34" s="40">
        <v>43299</v>
      </c>
      <c r="E34" s="39">
        <v>8080</v>
      </c>
      <c r="F34" s="41">
        <v>415.43</v>
      </c>
      <c r="G34" s="109">
        <v>0</v>
      </c>
      <c r="H34" s="43" t="s">
        <v>135</v>
      </c>
      <c r="I34" s="44">
        <v>3356670</v>
      </c>
      <c r="J34" s="141"/>
      <c r="K34" s="33"/>
      <c r="L34" s="27"/>
      <c r="M34" s="27"/>
      <c r="N34" s="27"/>
      <c r="O34" s="27"/>
    </row>
    <row r="35" spans="1:15" s="28" customFormat="1" ht="14.25" x14ac:dyDescent="0.3">
      <c r="A35" s="37" t="s">
        <v>154</v>
      </c>
      <c r="B35" s="38" t="s">
        <v>65</v>
      </c>
      <c r="C35" s="40">
        <v>43267</v>
      </c>
      <c r="D35" s="40">
        <v>43298</v>
      </c>
      <c r="E35" s="39">
        <v>2429</v>
      </c>
      <c r="F35" s="41">
        <v>448.89</v>
      </c>
      <c r="G35" s="109">
        <v>0</v>
      </c>
      <c r="H35" s="43" t="s">
        <v>135</v>
      </c>
      <c r="I35" s="44">
        <v>1090350</v>
      </c>
      <c r="J35" s="141"/>
      <c r="K35" s="33"/>
      <c r="L35" s="27"/>
      <c r="M35" s="27"/>
      <c r="N35" s="27"/>
      <c r="O35" s="27"/>
    </row>
    <row r="36" spans="1:15" s="28" customFormat="1" ht="14.25" x14ac:dyDescent="0.3">
      <c r="A36" s="37" t="s">
        <v>155</v>
      </c>
      <c r="B36" s="38" t="s">
        <v>67</v>
      </c>
      <c r="C36" s="40">
        <v>43256</v>
      </c>
      <c r="D36" s="40">
        <v>43288</v>
      </c>
      <c r="E36" s="39">
        <v>1326</v>
      </c>
      <c r="F36" s="41">
        <v>448.89</v>
      </c>
      <c r="G36" s="109">
        <v>0</v>
      </c>
      <c r="H36" s="43" t="s">
        <v>135</v>
      </c>
      <c r="I36" s="44">
        <v>595230</v>
      </c>
      <c r="J36" s="139"/>
      <c r="K36" s="33"/>
      <c r="L36" s="27"/>
      <c r="M36" s="27"/>
      <c r="N36" s="27"/>
      <c r="O36" s="27"/>
    </row>
    <row r="37" spans="1:15" s="28" customFormat="1" ht="14.25" x14ac:dyDescent="0.3">
      <c r="A37" s="116" t="s">
        <v>156</v>
      </c>
      <c r="B37" s="117" t="s">
        <v>69</v>
      </c>
      <c r="C37" s="119">
        <v>43270</v>
      </c>
      <c r="D37" s="119">
        <v>43299</v>
      </c>
      <c r="E37" s="118">
        <v>7120</v>
      </c>
      <c r="F37" s="124">
        <v>448.89</v>
      </c>
      <c r="G37" s="120">
        <v>0</v>
      </c>
      <c r="H37" s="125" t="s">
        <v>135</v>
      </c>
      <c r="I37" s="121">
        <v>3196100</v>
      </c>
      <c r="J37" s="141"/>
      <c r="K37" s="33"/>
      <c r="L37" s="27"/>
      <c r="M37" s="27"/>
      <c r="N37" s="27"/>
      <c r="O37" s="27"/>
    </row>
    <row r="38" spans="1:15" s="28" customFormat="1" ht="14.25" x14ac:dyDescent="0.3">
      <c r="A38" s="37" t="s">
        <v>157</v>
      </c>
      <c r="B38" s="38" t="s">
        <v>71</v>
      </c>
      <c r="C38" s="40">
        <v>43266</v>
      </c>
      <c r="D38" s="40">
        <v>43297</v>
      </c>
      <c r="E38" s="39">
        <v>3760</v>
      </c>
      <c r="F38" s="41">
        <v>415.43</v>
      </c>
      <c r="G38" s="109">
        <v>0</v>
      </c>
      <c r="H38" s="43" t="s">
        <v>135</v>
      </c>
      <c r="I38" s="44">
        <v>1562020</v>
      </c>
      <c r="J38" s="141"/>
      <c r="K38" s="33"/>
      <c r="L38" s="27"/>
      <c r="M38" s="27"/>
      <c r="N38" s="27"/>
      <c r="O38" s="27"/>
    </row>
    <row r="39" spans="1:15" s="28" customFormat="1" ht="14.25" x14ac:dyDescent="0.3">
      <c r="A39" s="37" t="s">
        <v>158</v>
      </c>
      <c r="B39" s="38" t="s">
        <v>73</v>
      </c>
      <c r="C39" s="40">
        <v>43273</v>
      </c>
      <c r="D39" s="40">
        <v>43302</v>
      </c>
      <c r="E39" s="39">
        <v>2346</v>
      </c>
      <c r="F39" s="41">
        <v>448.89</v>
      </c>
      <c r="G39" s="109">
        <v>0</v>
      </c>
      <c r="H39" s="43" t="s">
        <v>135</v>
      </c>
      <c r="I39" s="44">
        <v>1053090</v>
      </c>
      <c r="J39" s="141"/>
      <c r="K39" s="33"/>
      <c r="L39" s="27"/>
      <c r="M39" s="27"/>
      <c r="N39" s="27"/>
      <c r="O39" s="27"/>
    </row>
    <row r="40" spans="1:15" s="28" customFormat="1" ht="14.25" x14ac:dyDescent="0.3">
      <c r="A40" s="37" t="s">
        <v>180</v>
      </c>
      <c r="B40" s="38" t="s">
        <v>116</v>
      </c>
      <c r="C40" s="40">
        <v>43267</v>
      </c>
      <c r="D40" s="40">
        <v>43297</v>
      </c>
      <c r="E40" s="39">
        <v>9600</v>
      </c>
      <c r="F40" s="41">
        <v>448.89</v>
      </c>
      <c r="G40" s="109">
        <v>0</v>
      </c>
      <c r="H40" s="43" t="s">
        <v>135</v>
      </c>
      <c r="I40" s="44">
        <v>4309340</v>
      </c>
      <c r="J40" s="141"/>
      <c r="K40" s="33"/>
      <c r="L40" s="27"/>
      <c r="M40" s="27"/>
      <c r="N40" s="27"/>
      <c r="O40" s="27"/>
    </row>
    <row r="41" spans="1:15" s="28" customFormat="1" ht="14.25" x14ac:dyDescent="0.3">
      <c r="A41" s="116" t="s">
        <v>160</v>
      </c>
      <c r="B41" s="117" t="s">
        <v>77</v>
      </c>
      <c r="C41" s="119">
        <v>43274</v>
      </c>
      <c r="D41" s="119">
        <v>43306</v>
      </c>
      <c r="E41" s="118">
        <v>7980</v>
      </c>
      <c r="F41" s="124">
        <v>448.89</v>
      </c>
      <c r="G41" s="120">
        <v>0</v>
      </c>
      <c r="H41" s="125" t="s">
        <v>135</v>
      </c>
      <c r="I41" s="144">
        <v>3637800</v>
      </c>
      <c r="J41" s="139"/>
      <c r="K41" s="33"/>
      <c r="L41" s="27"/>
      <c r="M41" s="27"/>
      <c r="N41" s="27"/>
      <c r="O41" s="27"/>
    </row>
    <row r="42" spans="1:15" s="28" customFormat="1" ht="14.25" x14ac:dyDescent="0.3">
      <c r="A42" s="37" t="s">
        <v>161</v>
      </c>
      <c r="B42" s="38" t="s">
        <v>79</v>
      </c>
      <c r="C42" s="40">
        <v>43267</v>
      </c>
      <c r="D42" s="40">
        <v>43297</v>
      </c>
      <c r="E42" s="39">
        <v>7760</v>
      </c>
      <c r="F42" s="41">
        <v>415.43</v>
      </c>
      <c r="G42" s="109">
        <v>0</v>
      </c>
      <c r="H42" s="43" t="s">
        <v>135</v>
      </c>
      <c r="I42" s="44">
        <v>3223740</v>
      </c>
      <c r="J42" s="141"/>
      <c r="K42" s="33"/>
      <c r="L42" s="27"/>
      <c r="M42" s="27"/>
      <c r="N42" s="27"/>
      <c r="O42" s="27"/>
    </row>
    <row r="43" spans="1:15" s="28" customFormat="1" ht="14.25" x14ac:dyDescent="0.3">
      <c r="A43" s="59" t="s">
        <v>162</v>
      </c>
      <c r="B43" s="49" t="s">
        <v>81</v>
      </c>
      <c r="C43" s="40">
        <v>43259</v>
      </c>
      <c r="D43" s="40">
        <v>42927</v>
      </c>
      <c r="E43" s="39">
        <v>3799</v>
      </c>
      <c r="F43" s="41">
        <v>448.89</v>
      </c>
      <c r="G43" s="109">
        <v>0</v>
      </c>
      <c r="H43" s="43" t="s">
        <v>135</v>
      </c>
      <c r="I43" s="44">
        <v>1705340</v>
      </c>
      <c r="J43" s="140"/>
      <c r="K43" s="33"/>
      <c r="L43" s="27"/>
      <c r="M43" s="27"/>
      <c r="N43" s="27"/>
      <c r="O43" s="27"/>
    </row>
    <row r="44" spans="1:15" s="28" customFormat="1" ht="14.25" x14ac:dyDescent="0.3">
      <c r="A44" s="59" t="s">
        <v>163</v>
      </c>
      <c r="B44" s="49" t="s">
        <v>83</v>
      </c>
      <c r="C44" s="40">
        <v>43267</v>
      </c>
      <c r="D44" s="40">
        <v>43297</v>
      </c>
      <c r="E44" s="39">
        <v>7680</v>
      </c>
      <c r="F44" s="41">
        <v>415.43</v>
      </c>
      <c r="G44" s="109">
        <v>0</v>
      </c>
      <c r="H44" s="43" t="s">
        <v>135</v>
      </c>
      <c r="I44" s="44">
        <v>3190500</v>
      </c>
      <c r="J44" s="139"/>
      <c r="K44" s="33"/>
      <c r="L44" s="27"/>
      <c r="M44" s="27"/>
      <c r="N44" s="27"/>
      <c r="O44" s="27"/>
    </row>
    <row r="45" spans="1:15" s="28" customFormat="1" ht="14.25" x14ac:dyDescent="0.3">
      <c r="A45" s="37" t="s">
        <v>196</v>
      </c>
      <c r="B45" s="49" t="s">
        <v>85</v>
      </c>
      <c r="C45" s="40">
        <v>43274</v>
      </c>
      <c r="D45" s="40">
        <v>43307</v>
      </c>
      <c r="E45" s="39">
        <v>7920</v>
      </c>
      <c r="F45" s="41">
        <v>415.43</v>
      </c>
      <c r="G45" s="109">
        <v>0</v>
      </c>
      <c r="H45" s="43" t="s">
        <v>135</v>
      </c>
      <c r="I45" s="44">
        <v>3676500</v>
      </c>
      <c r="J45" s="141"/>
      <c r="K45" s="33"/>
      <c r="L45" s="27"/>
      <c r="M45" s="27"/>
      <c r="N45" s="27"/>
      <c r="O45" s="27"/>
    </row>
    <row r="46" spans="1:15" s="28" customFormat="1" ht="14.25" x14ac:dyDescent="0.3">
      <c r="A46" s="37" t="s">
        <v>166</v>
      </c>
      <c r="B46" s="38" t="s">
        <v>89</v>
      </c>
      <c r="C46" s="40">
        <v>43241</v>
      </c>
      <c r="D46" s="40">
        <v>43272</v>
      </c>
      <c r="E46" s="39">
        <v>14480</v>
      </c>
      <c r="F46" s="41">
        <v>441.7</v>
      </c>
      <c r="G46" s="109">
        <v>0</v>
      </c>
      <c r="H46" s="43" t="s">
        <v>135</v>
      </c>
      <c r="I46" s="44">
        <v>6395820</v>
      </c>
      <c r="J46" s="140"/>
      <c r="K46" s="33"/>
      <c r="L46" s="27"/>
      <c r="M46" s="27"/>
      <c r="N46" s="27"/>
      <c r="O46" s="27"/>
    </row>
    <row r="47" spans="1:15" s="28" customFormat="1" ht="14.25" x14ac:dyDescent="0.3">
      <c r="A47" s="37" t="s">
        <v>167</v>
      </c>
      <c r="B47" s="38" t="s">
        <v>91</v>
      </c>
      <c r="C47" s="40">
        <v>43274</v>
      </c>
      <c r="D47" s="40">
        <v>43307</v>
      </c>
      <c r="E47" s="39">
        <v>5120</v>
      </c>
      <c r="F47" s="41">
        <v>415.43</v>
      </c>
      <c r="G47" s="109">
        <v>0</v>
      </c>
      <c r="H47" s="43" t="s">
        <v>135</v>
      </c>
      <c r="I47" s="44">
        <v>2127000</v>
      </c>
      <c r="J47" s="139"/>
      <c r="K47" s="33"/>
      <c r="L47" s="27"/>
      <c r="M47" s="27"/>
      <c r="N47" s="27"/>
      <c r="O47" s="27"/>
    </row>
    <row r="48" spans="1:15" s="28" customFormat="1" ht="14.25" x14ac:dyDescent="0.3">
      <c r="A48" s="37" t="s">
        <v>168</v>
      </c>
      <c r="B48" s="38" t="s">
        <v>93</v>
      </c>
      <c r="C48" s="40">
        <v>43271</v>
      </c>
      <c r="D48" s="40">
        <v>43304</v>
      </c>
      <c r="E48" s="39">
        <v>4800</v>
      </c>
      <c r="F48" s="41">
        <v>415.43</v>
      </c>
      <c r="G48" s="109">
        <v>0</v>
      </c>
      <c r="H48" s="43" t="s">
        <v>135</v>
      </c>
      <c r="I48" s="44">
        <v>1994060</v>
      </c>
      <c r="J48" s="139"/>
      <c r="K48" s="33"/>
      <c r="L48" s="27"/>
      <c r="M48" s="27"/>
      <c r="N48" s="27"/>
      <c r="O48" s="27"/>
    </row>
    <row r="49" spans="1:15" s="28" customFormat="1" ht="14.25" x14ac:dyDescent="0.3">
      <c r="A49" s="116" t="s">
        <v>169</v>
      </c>
      <c r="B49" s="117" t="s">
        <v>95</v>
      </c>
      <c r="C49" s="119">
        <v>43274</v>
      </c>
      <c r="D49" s="119">
        <v>43306</v>
      </c>
      <c r="E49" s="118">
        <v>8640</v>
      </c>
      <c r="F49" s="124">
        <v>415.43</v>
      </c>
      <c r="G49" s="120">
        <v>0</v>
      </c>
      <c r="H49" s="125" t="s">
        <v>135</v>
      </c>
      <c r="I49" s="121">
        <v>3589315</v>
      </c>
      <c r="J49" s="140"/>
      <c r="K49" s="33"/>
      <c r="L49" s="27"/>
      <c r="M49" s="27"/>
      <c r="N49" s="27"/>
      <c r="O49" s="27"/>
    </row>
    <row r="50" spans="1:15" s="28" customFormat="1" ht="14.25" x14ac:dyDescent="0.3">
      <c r="A50" s="37" t="s">
        <v>170</v>
      </c>
      <c r="B50" s="38" t="s">
        <v>97</v>
      </c>
      <c r="C50" s="40" t="s">
        <v>171</v>
      </c>
      <c r="D50" s="40" t="s">
        <v>171</v>
      </c>
      <c r="E50" s="39">
        <v>0</v>
      </c>
      <c r="F50" s="41">
        <v>0</v>
      </c>
      <c r="G50" s="109">
        <v>0</v>
      </c>
      <c r="H50" s="40" t="s">
        <v>171</v>
      </c>
      <c r="I50" s="44">
        <v>0</v>
      </c>
      <c r="J50" s="147"/>
      <c r="K50" s="33"/>
      <c r="L50" s="27"/>
      <c r="M50" s="27"/>
      <c r="N50" s="27"/>
      <c r="O50" s="27"/>
    </row>
    <row r="51" spans="1:15" s="28" customFormat="1" ht="14.25" x14ac:dyDescent="0.3">
      <c r="A51" s="37" t="s">
        <v>172</v>
      </c>
      <c r="B51" s="49" t="s">
        <v>100</v>
      </c>
      <c r="C51" s="40">
        <v>43272</v>
      </c>
      <c r="D51" s="40">
        <v>43302</v>
      </c>
      <c r="E51" s="39">
        <v>7440</v>
      </c>
      <c r="F51" s="41">
        <v>415.43</v>
      </c>
      <c r="G51" s="109">
        <v>0</v>
      </c>
      <c r="H51" s="61" t="s">
        <v>135</v>
      </c>
      <c r="I51" s="44">
        <v>3090800</v>
      </c>
      <c r="J51" s="141"/>
      <c r="K51" s="33"/>
      <c r="L51" s="27"/>
      <c r="M51" s="27"/>
      <c r="N51" s="27"/>
      <c r="O51" s="27"/>
    </row>
    <row r="52" spans="1:15" s="28" customFormat="1" ht="14.25" x14ac:dyDescent="0.3">
      <c r="A52" s="116" t="s">
        <v>173</v>
      </c>
      <c r="B52" s="117" t="s">
        <v>102</v>
      </c>
      <c r="C52" s="119">
        <v>43264</v>
      </c>
      <c r="D52" s="119">
        <v>43294</v>
      </c>
      <c r="E52" s="118">
        <v>2745</v>
      </c>
      <c r="F52" s="124">
        <v>448.89</v>
      </c>
      <c r="G52" s="120">
        <v>0</v>
      </c>
      <c r="H52" s="125" t="s">
        <v>135</v>
      </c>
      <c r="I52" s="121">
        <v>1232210</v>
      </c>
      <c r="J52" s="140"/>
      <c r="K52" s="33"/>
      <c r="L52" s="27"/>
      <c r="M52" s="27"/>
      <c r="N52" s="27"/>
      <c r="O52" s="27"/>
    </row>
    <row r="53" spans="1:15" s="28" customFormat="1" ht="14.25" x14ac:dyDescent="0.3">
      <c r="A53" s="37" t="s">
        <v>174</v>
      </c>
      <c r="B53" s="38" t="s">
        <v>104</v>
      </c>
      <c r="C53" s="40">
        <v>43272</v>
      </c>
      <c r="D53" s="40">
        <v>43302</v>
      </c>
      <c r="E53" s="39">
        <v>7920</v>
      </c>
      <c r="F53" s="41">
        <v>448.89</v>
      </c>
      <c r="G53" s="109">
        <v>0</v>
      </c>
      <c r="H53" s="43" t="s">
        <v>135</v>
      </c>
      <c r="I53" s="44">
        <v>3555210</v>
      </c>
      <c r="J53" s="140"/>
      <c r="K53" s="33"/>
      <c r="L53" s="27"/>
      <c r="M53" s="27"/>
      <c r="N53" s="27"/>
      <c r="O53" s="27"/>
    </row>
    <row r="54" spans="1:15" s="28" customFormat="1" ht="14.25" x14ac:dyDescent="0.3">
      <c r="A54" s="116" t="s">
        <v>175</v>
      </c>
      <c r="B54" s="117" t="s">
        <v>106</v>
      </c>
      <c r="C54" s="119">
        <v>43269</v>
      </c>
      <c r="D54" s="119">
        <v>43299</v>
      </c>
      <c r="E54" s="118">
        <v>2287</v>
      </c>
      <c r="F54" s="124">
        <v>448.89</v>
      </c>
      <c r="G54" s="120">
        <v>0</v>
      </c>
      <c r="H54" s="125" t="s">
        <v>135</v>
      </c>
      <c r="I54" s="121">
        <v>1026610</v>
      </c>
      <c r="J54" s="141"/>
      <c r="K54" s="33"/>
      <c r="L54" s="27"/>
      <c r="M54" s="27"/>
      <c r="N54" s="27"/>
      <c r="O54" s="27"/>
    </row>
    <row r="55" spans="1:15" s="28" customFormat="1" ht="14.25" x14ac:dyDescent="0.3">
      <c r="A55" s="37" t="s">
        <v>176</v>
      </c>
      <c r="B55" s="38" t="s">
        <v>108</v>
      </c>
      <c r="C55" s="40">
        <v>43272</v>
      </c>
      <c r="D55" s="40">
        <v>43304</v>
      </c>
      <c r="E55" s="39">
        <v>4180</v>
      </c>
      <c r="F55" s="41">
        <v>415.43</v>
      </c>
      <c r="G55" s="109">
        <v>0</v>
      </c>
      <c r="H55" s="43" t="s">
        <v>135</v>
      </c>
      <c r="I55" s="44">
        <v>1743000</v>
      </c>
      <c r="J55" s="141"/>
      <c r="K55" s="33"/>
      <c r="L55" s="27"/>
      <c r="M55" s="27"/>
      <c r="N55" s="27"/>
      <c r="O55" s="27"/>
    </row>
    <row r="56" spans="1:15" s="28" customFormat="1" ht="14.25" x14ac:dyDescent="0.3">
      <c r="A56" s="37" t="s">
        <v>177</v>
      </c>
      <c r="B56" s="38" t="s">
        <v>110</v>
      </c>
      <c r="C56" s="40">
        <v>43272</v>
      </c>
      <c r="D56" s="40">
        <v>43302</v>
      </c>
      <c r="E56" s="39">
        <v>8080</v>
      </c>
      <c r="F56" s="41">
        <v>415.43</v>
      </c>
      <c r="G56" s="109">
        <v>0</v>
      </c>
      <c r="H56" s="43" t="s">
        <v>135</v>
      </c>
      <c r="I56" s="44">
        <v>3356670</v>
      </c>
      <c r="J56" s="139"/>
      <c r="K56" s="33"/>
      <c r="L56" s="27"/>
      <c r="M56" s="27"/>
      <c r="N56" s="27"/>
      <c r="O56" s="27"/>
    </row>
    <row r="57" spans="1:15" s="27" customFormat="1" ht="14.25" x14ac:dyDescent="0.3">
      <c r="A57" s="37" t="s">
        <v>178</v>
      </c>
      <c r="B57" s="38" t="s">
        <v>112</v>
      </c>
      <c r="C57" s="40">
        <v>43273</v>
      </c>
      <c r="D57" s="40">
        <v>43305</v>
      </c>
      <c r="E57" s="39">
        <v>1452</v>
      </c>
      <c r="F57" s="41">
        <v>448.89</v>
      </c>
      <c r="G57" s="109">
        <v>0</v>
      </c>
      <c r="H57" s="43" t="s">
        <v>135</v>
      </c>
      <c r="I57" s="44">
        <v>651790</v>
      </c>
      <c r="J57" s="141"/>
      <c r="K57" s="33"/>
    </row>
    <row r="58" spans="1:15" s="27" customFormat="1" ht="14.25" x14ac:dyDescent="0.3">
      <c r="A58" s="37" t="s">
        <v>179</v>
      </c>
      <c r="B58" s="38" t="s">
        <v>114</v>
      </c>
      <c r="C58" s="40">
        <v>43274</v>
      </c>
      <c r="D58" s="40">
        <v>43306</v>
      </c>
      <c r="E58" s="39">
        <v>8000</v>
      </c>
      <c r="F58" s="41">
        <v>415.43</v>
      </c>
      <c r="G58" s="109">
        <v>0</v>
      </c>
      <c r="H58" s="43" t="s">
        <v>135</v>
      </c>
      <c r="I58" s="44">
        <v>3323440</v>
      </c>
      <c r="J58" s="141"/>
      <c r="K58" s="33"/>
    </row>
    <row r="59" spans="1:15" s="27" customFormat="1" ht="14.25" x14ac:dyDescent="0.3">
      <c r="A59" s="37" t="s">
        <v>217</v>
      </c>
      <c r="B59" s="38" t="s">
        <v>218</v>
      </c>
      <c r="C59" s="40">
        <v>43274</v>
      </c>
      <c r="D59" s="40">
        <v>43306</v>
      </c>
      <c r="E59" s="39">
        <v>2200</v>
      </c>
      <c r="F59" s="41">
        <v>377.81</v>
      </c>
      <c r="G59" s="109">
        <v>497520</v>
      </c>
      <c r="H59" s="40" t="s">
        <v>135</v>
      </c>
      <c r="I59" s="44">
        <v>1699130</v>
      </c>
      <c r="J59" s="148"/>
      <c r="K59" s="33"/>
    </row>
    <row r="60" spans="1:15" s="27" customFormat="1" ht="14.25" x14ac:dyDescent="0.3">
      <c r="A60" s="37" t="s">
        <v>227</v>
      </c>
      <c r="B60" s="38" t="s">
        <v>228</v>
      </c>
      <c r="C60" s="40">
        <v>43271</v>
      </c>
      <c r="D60" s="40">
        <v>43304</v>
      </c>
      <c r="E60" s="39">
        <v>14080</v>
      </c>
      <c r="F60" s="41">
        <v>377.81</v>
      </c>
      <c r="G60" s="109">
        <v>0</v>
      </c>
      <c r="H60" s="43" t="s">
        <v>135</v>
      </c>
      <c r="I60" s="44">
        <v>7551270</v>
      </c>
      <c r="J60" s="140"/>
      <c r="K60" s="33"/>
    </row>
    <row r="61" spans="1:15" s="27" customFormat="1" ht="14.25" x14ac:dyDescent="0.3">
      <c r="A61" s="319" t="s">
        <v>198</v>
      </c>
      <c r="B61" s="319" t="s">
        <v>4</v>
      </c>
      <c r="C61" s="319" t="s">
        <v>6</v>
      </c>
      <c r="D61" s="319"/>
      <c r="E61" s="36" t="s">
        <v>7</v>
      </c>
      <c r="F61" s="36" t="s">
        <v>132</v>
      </c>
      <c r="G61" s="319" t="s">
        <v>133</v>
      </c>
      <c r="H61" s="319" t="s">
        <v>134</v>
      </c>
      <c r="I61" s="320" t="s">
        <v>11</v>
      </c>
      <c r="J61" s="149"/>
      <c r="K61" s="149"/>
    </row>
    <row r="62" spans="1:15" s="27" customFormat="1" ht="14.25" x14ac:dyDescent="0.3">
      <c r="A62" s="319"/>
      <c r="B62" s="319"/>
      <c r="C62" s="36" t="s">
        <v>15</v>
      </c>
      <c r="D62" s="36" t="s">
        <v>16</v>
      </c>
      <c r="E62" s="36" t="s">
        <v>17</v>
      </c>
      <c r="F62" s="36" t="s">
        <v>17</v>
      </c>
      <c r="G62" s="319"/>
      <c r="H62" s="319"/>
      <c r="I62" s="320"/>
      <c r="J62" s="149"/>
      <c r="K62" s="149"/>
    </row>
    <row r="63" spans="1:15" s="27" customFormat="1" ht="14.25" x14ac:dyDescent="0.3">
      <c r="A63" s="37" t="s">
        <v>159</v>
      </c>
      <c r="B63" s="38" t="s">
        <v>75</v>
      </c>
      <c r="C63" s="40" t="s">
        <v>171</v>
      </c>
      <c r="D63" s="40" t="s">
        <v>171</v>
      </c>
      <c r="E63" s="39">
        <v>0</v>
      </c>
      <c r="F63" s="41">
        <v>0</v>
      </c>
      <c r="G63" s="109">
        <v>0</v>
      </c>
      <c r="H63" s="40" t="s">
        <v>171</v>
      </c>
      <c r="I63" s="44">
        <v>0</v>
      </c>
      <c r="J63" s="147"/>
      <c r="K63" s="33"/>
    </row>
    <row r="64" spans="1:15" s="27" customFormat="1" ht="14.25" x14ac:dyDescent="0.3">
      <c r="A64" s="37" t="s">
        <v>149</v>
      </c>
      <c r="B64" s="38" t="s">
        <v>55</v>
      </c>
      <c r="C64" s="40">
        <v>43272</v>
      </c>
      <c r="D64" s="40">
        <v>43302</v>
      </c>
      <c r="E64" s="39">
        <v>0</v>
      </c>
      <c r="F64" s="41">
        <v>0</v>
      </c>
      <c r="G64" s="109">
        <v>0</v>
      </c>
      <c r="H64" s="43" t="s">
        <v>135</v>
      </c>
      <c r="I64" s="44">
        <v>34120</v>
      </c>
      <c r="J64" s="140"/>
      <c r="K64" s="33"/>
    </row>
    <row r="65" spans="1:11" s="27" customFormat="1" ht="14.25" x14ac:dyDescent="0.3">
      <c r="A65" s="37" t="s">
        <v>150</v>
      </c>
      <c r="B65" s="38" t="s">
        <v>57</v>
      </c>
      <c r="C65" s="40">
        <v>43272</v>
      </c>
      <c r="D65" s="40">
        <v>43302</v>
      </c>
      <c r="E65" s="39">
        <v>0</v>
      </c>
      <c r="F65" s="41">
        <v>0</v>
      </c>
      <c r="G65" s="109">
        <v>0</v>
      </c>
      <c r="H65" s="43" t="s">
        <v>135</v>
      </c>
      <c r="I65" s="44">
        <v>0</v>
      </c>
      <c r="J65" s="141"/>
      <c r="K65" s="33"/>
    </row>
    <row r="66" spans="1:11" s="27" customFormat="1" ht="14.25" x14ac:dyDescent="0.3">
      <c r="A66" s="37" t="s">
        <v>165</v>
      </c>
      <c r="B66" s="49" t="s">
        <v>87</v>
      </c>
      <c r="C66" s="40">
        <v>43271</v>
      </c>
      <c r="D66" s="40">
        <v>43300</v>
      </c>
      <c r="E66" s="39">
        <v>0</v>
      </c>
      <c r="F66" s="41">
        <v>0</v>
      </c>
      <c r="G66" s="109">
        <v>0</v>
      </c>
      <c r="H66" s="43" t="s">
        <v>233</v>
      </c>
      <c r="I66" s="44">
        <v>0</v>
      </c>
      <c r="J66" s="141"/>
      <c r="K66" s="33"/>
    </row>
    <row r="67" spans="1:11" s="27" customFormat="1" ht="15" customHeight="1" x14ac:dyDescent="0.3">
      <c r="A67" s="62"/>
      <c r="B67" s="63"/>
      <c r="C67" s="65"/>
      <c r="D67" s="65"/>
      <c r="E67" s="103">
        <f>SUM(E9:E66)</f>
        <v>883670</v>
      </c>
      <c r="F67" s="103">
        <f>SUM(E9:E60)</f>
        <v>883670</v>
      </c>
      <c r="G67" s="113"/>
      <c r="H67" s="68"/>
      <c r="I67" s="105"/>
      <c r="J67" s="71"/>
      <c r="K67" s="71"/>
    </row>
    <row r="68" spans="1:11" s="27" customFormat="1" ht="15" customHeight="1" x14ac:dyDescent="0.3">
      <c r="A68" s="351" t="s">
        <v>235</v>
      </c>
      <c r="B68" s="351"/>
      <c r="C68" s="351"/>
      <c r="D68" s="351"/>
      <c r="E68" s="351"/>
      <c r="F68" s="342" t="s">
        <v>200</v>
      </c>
      <c r="G68" s="342"/>
      <c r="H68" s="342"/>
      <c r="I68" s="106">
        <f>SUM(I9:I60)</f>
        <v>345337886</v>
      </c>
      <c r="J68" s="71"/>
      <c r="K68" s="71"/>
    </row>
    <row r="69" spans="1:11" s="27" customFormat="1" ht="15" customHeight="1" x14ac:dyDescent="0.3">
      <c r="A69" s="351"/>
      <c r="B69" s="351"/>
      <c r="C69" s="351"/>
      <c r="D69" s="351"/>
      <c r="E69" s="351"/>
      <c r="F69" s="342" t="s">
        <v>201</v>
      </c>
      <c r="G69" s="342"/>
      <c r="H69" s="342"/>
      <c r="I69" s="106">
        <f>SUM(I63:I66)</f>
        <v>34120</v>
      </c>
      <c r="J69" s="71"/>
      <c r="K69" s="71"/>
    </row>
    <row r="70" spans="1:11" s="27" customFormat="1" ht="15" customHeight="1" x14ac:dyDescent="0.3">
      <c r="A70" s="351"/>
      <c r="B70" s="351"/>
      <c r="C70" s="351"/>
      <c r="D70" s="351"/>
      <c r="E70" s="351"/>
      <c r="F70" s="342"/>
      <c r="G70" s="342"/>
      <c r="H70" s="342"/>
      <c r="I70" s="106"/>
      <c r="J70" s="71"/>
      <c r="K70" s="71"/>
    </row>
    <row r="71" spans="1:11" s="27" customFormat="1" ht="15" customHeight="1" x14ac:dyDescent="0.3">
      <c r="A71" s="352"/>
      <c r="B71" s="352"/>
      <c r="C71" s="352"/>
      <c r="D71" s="352"/>
      <c r="E71" s="352"/>
      <c r="F71" s="343" t="s">
        <v>203</v>
      </c>
      <c r="G71" s="343"/>
      <c r="H71" s="343"/>
      <c r="I71" s="107">
        <f>SUM(I68:I70)</f>
        <v>345372006</v>
      </c>
      <c r="J71" s="71"/>
      <c r="K71" s="71"/>
    </row>
    <row r="72" spans="1:11" s="27" customFormat="1" ht="15" customHeight="1" x14ac:dyDescent="0.3">
      <c r="B72" s="70"/>
      <c r="C72" s="70"/>
      <c r="D72" s="71"/>
      <c r="E72" s="72"/>
      <c r="J72" s="71"/>
      <c r="K72" s="71"/>
    </row>
    <row r="73" spans="1:11" s="27" customFormat="1" ht="15" customHeight="1" x14ac:dyDescent="0.3">
      <c r="B73" s="70"/>
      <c r="C73" s="72"/>
      <c r="D73" s="72"/>
      <c r="E73" s="77"/>
      <c r="F73" s="77"/>
      <c r="I73" s="136"/>
      <c r="J73" s="34"/>
      <c r="K73" s="71"/>
    </row>
    <row r="74" spans="1:11" s="27" customFormat="1" ht="14.25" x14ac:dyDescent="0.3">
      <c r="A74" s="27" t="s">
        <v>185</v>
      </c>
      <c r="B74" s="70"/>
      <c r="C74" s="72"/>
      <c r="D74" s="72"/>
      <c r="E74" s="81"/>
      <c r="F74" s="81"/>
      <c r="J74" s="34"/>
      <c r="K74" s="71"/>
    </row>
    <row r="75" spans="1:11" s="27" customFormat="1" ht="14.25" x14ac:dyDescent="0.3">
      <c r="A75" s="83" t="s">
        <v>186</v>
      </c>
      <c r="B75" s="84"/>
      <c r="C75" s="84"/>
      <c r="D75" s="85"/>
      <c r="E75" s="85"/>
      <c r="F75" s="85"/>
      <c r="G75" s="114"/>
      <c r="H75" s="85"/>
      <c r="I75" s="85"/>
      <c r="J75" s="34"/>
      <c r="K75" s="71"/>
    </row>
    <row r="76" spans="1:11" s="27" customFormat="1" ht="14.25" x14ac:dyDescent="0.3">
      <c r="A76" s="86" t="s">
        <v>187</v>
      </c>
      <c r="B76" s="84"/>
      <c r="C76" s="84"/>
      <c r="D76" s="85"/>
      <c r="E76" s="85"/>
      <c r="F76" s="85"/>
      <c r="G76" s="114"/>
      <c r="H76" s="85"/>
      <c r="I76" s="137"/>
      <c r="J76" s="34"/>
      <c r="K76" s="71"/>
    </row>
    <row r="77" spans="1:11" s="27" customFormat="1" ht="14.25" x14ac:dyDescent="0.3">
      <c r="A77" s="80"/>
      <c r="B77" s="80"/>
      <c r="C77" s="80"/>
      <c r="D77" s="80"/>
      <c r="E77" s="80"/>
      <c r="F77" s="80"/>
      <c r="G77" s="34"/>
      <c r="H77" s="80"/>
      <c r="I77" s="80"/>
      <c r="J77" s="71"/>
      <c r="K77" s="71"/>
    </row>
  </sheetData>
  <mergeCells count="29">
    <mergeCell ref="H61:H62"/>
    <mergeCell ref="I61:I62"/>
    <mergeCell ref="A68:E71"/>
    <mergeCell ref="F68:H68"/>
    <mergeCell ref="F69:H69"/>
    <mergeCell ref="F70:H70"/>
    <mergeCell ref="F71:H71"/>
    <mergeCell ref="A61:A62"/>
    <mergeCell ref="B61:B62"/>
    <mergeCell ref="C61:D61"/>
    <mergeCell ref="G61:G62"/>
    <mergeCell ref="I7:I8"/>
    <mergeCell ref="J7:J8"/>
    <mergeCell ref="K7:K8"/>
    <mergeCell ref="A10:A11"/>
    <mergeCell ref="B10:B11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"/>
  <sheetViews>
    <sheetView workbookViewId="0">
      <selection activeCell="D30" sqref="D30"/>
    </sheetView>
  </sheetViews>
  <sheetFormatPr baseColWidth="10" defaultRowHeight="15" x14ac:dyDescent="0.25"/>
  <cols>
    <col min="1" max="1" width="32" customWidth="1"/>
    <col min="2" max="2" width="28.42578125" customWidth="1"/>
    <col min="3" max="6" width="15.140625" customWidth="1"/>
    <col min="7" max="7" width="17.28515625" customWidth="1"/>
    <col min="8" max="8" width="17" customWidth="1"/>
    <col min="9" max="9" width="18" customWidth="1"/>
    <col min="10" max="10" width="13.28515625" customWidth="1"/>
    <col min="11" max="11" width="44.5703125" bestFit="1" customWidth="1"/>
    <col min="13" max="13" width="9.42578125" customWidth="1"/>
  </cols>
  <sheetData>
    <row r="1" spans="1:14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71"/>
      <c r="K1" s="71"/>
      <c r="L1" s="27"/>
      <c r="M1" s="27"/>
      <c r="N1" s="27"/>
    </row>
    <row r="2" spans="1:14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71"/>
      <c r="K2" s="138"/>
    </row>
    <row r="3" spans="1:14" s="27" customFormat="1" ht="14.25" x14ac:dyDescent="0.3">
      <c r="B3" s="27" t="s">
        <v>236</v>
      </c>
      <c r="C3" s="332" t="s">
        <v>204</v>
      </c>
      <c r="D3" s="332"/>
      <c r="E3" s="87" t="s">
        <v>121</v>
      </c>
      <c r="F3" s="333" t="s">
        <v>237</v>
      </c>
      <c r="G3" s="334"/>
      <c r="H3" s="334"/>
      <c r="I3" s="335"/>
      <c r="J3" s="71"/>
      <c r="K3" s="71"/>
    </row>
    <row r="4" spans="1:14" s="27" customFormat="1" ht="14.25" x14ac:dyDescent="0.3">
      <c r="B4" s="27" t="s">
        <v>238</v>
      </c>
      <c r="C4" s="336" t="s">
        <v>231</v>
      </c>
      <c r="D4" s="336"/>
      <c r="E4" s="326" t="s">
        <v>125</v>
      </c>
      <c r="F4" s="87" t="s">
        <v>190</v>
      </c>
      <c r="G4" s="332" t="s">
        <v>239</v>
      </c>
      <c r="H4" s="332"/>
      <c r="I4" s="332"/>
      <c r="J4" s="71"/>
      <c r="K4" s="71"/>
    </row>
    <row r="5" spans="1:14" s="27" customFormat="1" ht="14.25" x14ac:dyDescent="0.3">
      <c r="B5" s="27" t="s">
        <v>240</v>
      </c>
      <c r="C5" s="337" t="s">
        <v>208</v>
      </c>
      <c r="D5" s="338"/>
      <c r="E5" s="326"/>
      <c r="F5" s="108" t="s">
        <v>192</v>
      </c>
      <c r="G5" s="345" t="s">
        <v>241</v>
      </c>
      <c r="H5" s="339"/>
      <c r="I5" s="339"/>
      <c r="J5" s="71"/>
      <c r="K5" s="71"/>
    </row>
    <row r="6" spans="1:14" s="27" customFormat="1" ht="14.25" x14ac:dyDescent="0.3">
      <c r="B6" s="34" t="s">
        <v>242</v>
      </c>
      <c r="C6" s="34"/>
      <c r="D6" s="35"/>
      <c r="G6" s="71"/>
      <c r="H6" s="34"/>
      <c r="I6" s="26"/>
      <c r="J6" s="71"/>
      <c r="K6" s="71"/>
    </row>
    <row r="7" spans="1:14" s="28" customFormat="1" ht="15" customHeight="1" x14ac:dyDescent="0.3">
      <c r="A7" s="356" t="s">
        <v>225</v>
      </c>
      <c r="B7" s="356" t="s">
        <v>226</v>
      </c>
      <c r="C7" s="356" t="s">
        <v>6</v>
      </c>
      <c r="D7" s="356"/>
      <c r="E7" s="150" t="s">
        <v>7</v>
      </c>
      <c r="F7" s="150" t="s">
        <v>132</v>
      </c>
      <c r="G7" s="356" t="s">
        <v>243</v>
      </c>
      <c r="H7" s="356" t="s">
        <v>134</v>
      </c>
      <c r="I7" s="353" t="s">
        <v>11</v>
      </c>
      <c r="J7" s="354"/>
      <c r="K7" s="354"/>
      <c r="L7" s="355"/>
      <c r="M7" s="80"/>
      <c r="N7" s="27"/>
    </row>
    <row r="8" spans="1:14" s="28" customFormat="1" ht="14.25" x14ac:dyDescent="0.3">
      <c r="A8" s="356"/>
      <c r="B8" s="356"/>
      <c r="C8" s="150" t="s">
        <v>15</v>
      </c>
      <c r="D8" s="150" t="s">
        <v>16</v>
      </c>
      <c r="E8" s="150" t="s">
        <v>17</v>
      </c>
      <c r="F8" s="150" t="s">
        <v>17</v>
      </c>
      <c r="G8" s="356"/>
      <c r="H8" s="356"/>
      <c r="I8" s="353"/>
      <c r="J8" s="354"/>
      <c r="K8" s="354"/>
      <c r="L8" s="355"/>
      <c r="M8" s="80"/>
      <c r="N8" s="27"/>
    </row>
    <row r="9" spans="1:14" s="28" customFormat="1" ht="14.25" x14ac:dyDescent="0.3">
      <c r="A9" s="37" t="s">
        <v>18</v>
      </c>
      <c r="B9" s="38" t="s">
        <v>19</v>
      </c>
      <c r="C9" s="40">
        <v>43297</v>
      </c>
      <c r="D9" s="40">
        <v>43326</v>
      </c>
      <c r="E9" s="39">
        <v>90240</v>
      </c>
      <c r="F9" s="41">
        <v>383.13</v>
      </c>
      <c r="G9" s="109">
        <v>0</v>
      </c>
      <c r="H9" s="43" t="s">
        <v>136</v>
      </c>
      <c r="I9" s="44">
        <v>33800820</v>
      </c>
      <c r="J9" s="141"/>
      <c r="K9" s="33"/>
      <c r="L9" s="151"/>
      <c r="M9" s="80"/>
      <c r="N9" s="27"/>
    </row>
    <row r="10" spans="1:14" s="28" customFormat="1" ht="14.25" x14ac:dyDescent="0.3">
      <c r="A10" s="152" t="s">
        <v>20</v>
      </c>
      <c r="B10" s="153" t="s">
        <v>19</v>
      </c>
      <c r="C10" s="40">
        <v>43305</v>
      </c>
      <c r="D10" s="40">
        <v>43333</v>
      </c>
      <c r="E10" s="39">
        <v>2105</v>
      </c>
      <c r="F10" s="41">
        <v>454.24</v>
      </c>
      <c r="G10" s="109">
        <v>0</v>
      </c>
      <c r="H10" s="40" t="s">
        <v>136</v>
      </c>
      <c r="I10" s="44">
        <v>956180</v>
      </c>
      <c r="J10" s="139"/>
      <c r="K10" s="33"/>
      <c r="L10" s="154"/>
      <c r="M10" s="80"/>
      <c r="N10" s="27"/>
    </row>
    <row r="11" spans="1:14" s="28" customFormat="1" ht="14.25" x14ac:dyDescent="0.3">
      <c r="A11" s="155" t="s">
        <v>21</v>
      </c>
      <c r="B11" s="156" t="s">
        <v>19</v>
      </c>
      <c r="C11" s="158">
        <v>43297</v>
      </c>
      <c r="D11" s="158">
        <v>43326</v>
      </c>
      <c r="E11" s="157">
        <v>0</v>
      </c>
      <c r="F11" s="159">
        <v>0</v>
      </c>
      <c r="G11" s="160">
        <v>0</v>
      </c>
      <c r="H11" s="161" t="s">
        <v>135</v>
      </c>
      <c r="I11" s="162">
        <v>0</v>
      </c>
      <c r="J11" s="163"/>
      <c r="K11" s="33"/>
      <c r="L11" s="164"/>
      <c r="M11" s="80"/>
      <c r="N11" s="27"/>
    </row>
    <row r="12" spans="1:14" s="28" customFormat="1" ht="14.25" x14ac:dyDescent="0.3">
      <c r="A12" s="155" t="s">
        <v>22</v>
      </c>
      <c r="B12" s="156" t="s">
        <v>19</v>
      </c>
      <c r="C12" s="158">
        <v>43328</v>
      </c>
      <c r="D12" s="158">
        <v>43326</v>
      </c>
      <c r="E12" s="157">
        <v>0</v>
      </c>
      <c r="F12" s="159">
        <v>0</v>
      </c>
      <c r="G12" s="165">
        <v>0</v>
      </c>
      <c r="H12" s="158" t="s">
        <v>135</v>
      </c>
      <c r="I12" s="162">
        <v>0</v>
      </c>
      <c r="J12" s="163"/>
      <c r="K12" s="33"/>
      <c r="L12" s="166"/>
      <c r="M12" s="80"/>
      <c r="N12" s="27"/>
    </row>
    <row r="13" spans="1:14" s="28" customFormat="1" ht="14.25" x14ac:dyDescent="0.3">
      <c r="A13" s="37" t="s">
        <v>23</v>
      </c>
      <c r="B13" s="38" t="s">
        <v>24</v>
      </c>
      <c r="C13" s="40">
        <v>43304</v>
      </c>
      <c r="D13" s="40">
        <v>43335</v>
      </c>
      <c r="E13" s="39">
        <v>11840</v>
      </c>
      <c r="F13" s="41">
        <v>420.72</v>
      </c>
      <c r="G13" s="109">
        <v>0</v>
      </c>
      <c r="H13" s="43" t="s">
        <v>135</v>
      </c>
      <c r="I13" s="44">
        <v>4981330</v>
      </c>
      <c r="J13" s="141"/>
      <c r="K13" s="33"/>
      <c r="L13" s="151"/>
      <c r="M13" s="80"/>
      <c r="N13" s="27"/>
    </row>
    <row r="14" spans="1:14" s="28" customFormat="1" ht="14.25" x14ac:dyDescent="0.3">
      <c r="A14" s="37" t="s">
        <v>25</v>
      </c>
      <c r="B14" s="38" t="s">
        <v>24</v>
      </c>
      <c r="C14" s="40">
        <v>43304</v>
      </c>
      <c r="D14" s="40">
        <v>43335</v>
      </c>
      <c r="E14" s="39">
        <v>15960</v>
      </c>
      <c r="F14" s="41">
        <v>420.72</v>
      </c>
      <c r="G14" s="109">
        <v>0</v>
      </c>
      <c r="H14" s="43" t="s">
        <v>135</v>
      </c>
      <c r="I14" s="44">
        <v>7367290</v>
      </c>
      <c r="J14" s="139"/>
      <c r="K14" s="33"/>
      <c r="L14" s="154"/>
      <c r="M14" s="80"/>
      <c r="N14" s="27"/>
    </row>
    <row r="15" spans="1:14" s="28" customFormat="1" ht="14.25" x14ac:dyDescent="0.3">
      <c r="A15" s="37" t="s">
        <v>26</v>
      </c>
      <c r="B15" s="38" t="s">
        <v>24</v>
      </c>
      <c r="C15" s="40">
        <v>43305</v>
      </c>
      <c r="D15" s="40">
        <v>43335</v>
      </c>
      <c r="E15" s="39">
        <v>5513</v>
      </c>
      <c r="F15" s="41">
        <v>454.24</v>
      </c>
      <c r="G15" s="109">
        <v>0</v>
      </c>
      <c r="H15" s="43" t="s">
        <v>135</v>
      </c>
      <c r="I15" s="44">
        <v>2504220</v>
      </c>
      <c r="J15" s="139"/>
      <c r="K15" s="33"/>
      <c r="L15" s="154"/>
      <c r="M15" s="80"/>
      <c r="N15" s="27"/>
    </row>
    <row r="16" spans="1:14" s="28" customFormat="1" ht="14.25" x14ac:dyDescent="0.3">
      <c r="A16" s="155" t="s">
        <v>27</v>
      </c>
      <c r="B16" s="156" t="s">
        <v>24</v>
      </c>
      <c r="C16" s="158">
        <v>43305</v>
      </c>
      <c r="D16" s="158">
        <v>43335</v>
      </c>
      <c r="E16" s="157">
        <v>0</v>
      </c>
      <c r="F16" s="159">
        <v>0</v>
      </c>
      <c r="G16" s="165">
        <v>0</v>
      </c>
      <c r="H16" s="161" t="s">
        <v>136</v>
      </c>
      <c r="I16" s="162">
        <v>0</v>
      </c>
      <c r="J16" s="167"/>
      <c r="K16" s="33"/>
      <c r="L16" s="154"/>
      <c r="M16" s="80"/>
      <c r="N16" s="27"/>
    </row>
    <row r="17" spans="1:14" s="28" customFormat="1" ht="14.25" x14ac:dyDescent="0.3">
      <c r="A17" s="37" t="s">
        <v>28</v>
      </c>
      <c r="B17" s="38" t="s">
        <v>24</v>
      </c>
      <c r="C17" s="40">
        <v>43305</v>
      </c>
      <c r="D17" s="40">
        <v>43335</v>
      </c>
      <c r="E17" s="39">
        <v>3282</v>
      </c>
      <c r="F17" s="41">
        <v>420.72</v>
      </c>
      <c r="G17" s="109">
        <v>0</v>
      </c>
      <c r="H17" s="43" t="s">
        <v>135</v>
      </c>
      <c r="I17" s="127">
        <v>1380800</v>
      </c>
      <c r="J17" s="139"/>
      <c r="K17" s="33"/>
      <c r="L17" s="151"/>
      <c r="M17" s="80"/>
      <c r="N17" s="27"/>
    </row>
    <row r="18" spans="1:14" s="28" customFormat="1" ht="14.25" x14ac:dyDescent="0.3">
      <c r="A18" s="37" t="s">
        <v>29</v>
      </c>
      <c r="B18" s="38" t="s">
        <v>24</v>
      </c>
      <c r="C18" s="40">
        <v>43304</v>
      </c>
      <c r="D18" s="40">
        <v>43335</v>
      </c>
      <c r="E18" s="39">
        <v>12480</v>
      </c>
      <c r="F18" s="41">
        <v>420.72</v>
      </c>
      <c r="G18" s="109">
        <v>0</v>
      </c>
      <c r="H18" s="48" t="s">
        <v>135</v>
      </c>
      <c r="I18" s="44">
        <v>5221840</v>
      </c>
      <c r="J18" s="139"/>
      <c r="K18" s="33"/>
      <c r="L18" s="151"/>
      <c r="M18" s="80"/>
      <c r="N18" s="27"/>
    </row>
    <row r="19" spans="1:14" s="28" customFormat="1" ht="14.25" x14ac:dyDescent="0.3">
      <c r="A19" s="37" t="s">
        <v>137</v>
      </c>
      <c r="B19" s="49" t="s">
        <v>31</v>
      </c>
      <c r="C19" s="40">
        <v>43307</v>
      </c>
      <c r="D19" s="40">
        <v>43336</v>
      </c>
      <c r="E19" s="39">
        <v>37400</v>
      </c>
      <c r="F19" s="41">
        <v>387.24</v>
      </c>
      <c r="G19" s="109">
        <v>0</v>
      </c>
      <c r="H19" s="43" t="s">
        <v>135</v>
      </c>
      <c r="I19" s="44">
        <v>14324500</v>
      </c>
      <c r="J19" s="139"/>
      <c r="K19" s="33"/>
      <c r="L19" s="164"/>
      <c r="M19" s="80"/>
      <c r="N19" s="27"/>
    </row>
    <row r="20" spans="1:14" s="28" customFormat="1" ht="14.25" x14ac:dyDescent="0.3">
      <c r="A20" s="37" t="s">
        <v>138</v>
      </c>
      <c r="B20" s="38" t="s">
        <v>33</v>
      </c>
      <c r="C20" s="40">
        <v>43271</v>
      </c>
      <c r="D20" s="40">
        <v>43304</v>
      </c>
      <c r="E20" s="39">
        <v>64680</v>
      </c>
      <c r="F20" s="41">
        <v>374.9</v>
      </c>
      <c r="G20" s="109">
        <v>0</v>
      </c>
      <c r="H20" s="43" t="s">
        <v>135</v>
      </c>
      <c r="I20" s="44">
        <v>24283100</v>
      </c>
      <c r="J20" s="141"/>
      <c r="K20" s="33"/>
      <c r="L20" s="164"/>
      <c r="M20" s="80"/>
      <c r="N20" s="27"/>
    </row>
    <row r="21" spans="1:14" s="28" customFormat="1" ht="14.25" x14ac:dyDescent="0.3">
      <c r="A21" s="37" t="s">
        <v>139</v>
      </c>
      <c r="B21" s="38" t="s">
        <v>35</v>
      </c>
      <c r="C21" s="40">
        <v>43302</v>
      </c>
      <c r="D21" s="40">
        <v>43334</v>
      </c>
      <c r="E21" s="39">
        <v>50600</v>
      </c>
      <c r="F21" s="41">
        <v>383.13</v>
      </c>
      <c r="G21" s="109">
        <v>0</v>
      </c>
      <c r="H21" s="43" t="s">
        <v>135</v>
      </c>
      <c r="I21" s="44">
        <v>19412030</v>
      </c>
      <c r="J21" s="140"/>
      <c r="K21" s="33"/>
      <c r="L21" s="151"/>
      <c r="M21" s="80"/>
      <c r="N21" s="27"/>
    </row>
    <row r="22" spans="1:14" s="28" customFormat="1" ht="14.25" x14ac:dyDescent="0.3">
      <c r="A22" s="129" t="s">
        <v>140</v>
      </c>
      <c r="B22" s="130" t="s">
        <v>37</v>
      </c>
      <c r="C22" s="132">
        <v>43297</v>
      </c>
      <c r="D22" s="132">
        <v>43328</v>
      </c>
      <c r="E22" s="131">
        <v>58740</v>
      </c>
      <c r="F22" s="133">
        <v>381.95</v>
      </c>
      <c r="G22" s="134">
        <v>0</v>
      </c>
      <c r="H22" s="168" t="s">
        <v>135</v>
      </c>
      <c r="I22" s="135">
        <v>22500330</v>
      </c>
      <c r="J22" s="169"/>
      <c r="K22" s="170"/>
      <c r="L22" s="154"/>
      <c r="M22" s="80"/>
      <c r="N22" s="27"/>
    </row>
    <row r="23" spans="1:14" s="28" customFormat="1" ht="14.25" x14ac:dyDescent="0.3">
      <c r="A23" s="37" t="s">
        <v>141</v>
      </c>
      <c r="B23" s="38" t="s">
        <v>39</v>
      </c>
      <c r="C23" s="40">
        <v>43274</v>
      </c>
      <c r="D23" s="40">
        <v>43306</v>
      </c>
      <c r="E23" s="39">
        <v>81840</v>
      </c>
      <c r="F23" s="41">
        <v>372.56</v>
      </c>
      <c r="G23" s="109">
        <v>0</v>
      </c>
      <c r="H23" s="43" t="s">
        <v>135</v>
      </c>
      <c r="I23" s="44">
        <v>30624660</v>
      </c>
      <c r="J23" s="141"/>
      <c r="K23" s="33"/>
      <c r="L23" s="151"/>
      <c r="M23" s="80"/>
      <c r="N23" s="27"/>
    </row>
    <row r="24" spans="1:14" s="28" customFormat="1" ht="14.25" x14ac:dyDescent="0.3">
      <c r="A24" s="37" t="s">
        <v>142</v>
      </c>
      <c r="B24" s="38" t="s">
        <v>41</v>
      </c>
      <c r="C24" s="40">
        <v>43304</v>
      </c>
      <c r="D24" s="40">
        <v>43334</v>
      </c>
      <c r="E24" s="39">
        <v>182600</v>
      </c>
      <c r="F24" s="41">
        <v>383.13</v>
      </c>
      <c r="G24" s="109">
        <v>0</v>
      </c>
      <c r="H24" s="43" t="s">
        <v>135</v>
      </c>
      <c r="I24" s="44">
        <v>70058650</v>
      </c>
      <c r="J24" s="141"/>
      <c r="K24" s="33"/>
      <c r="L24" s="151"/>
      <c r="M24" s="80"/>
      <c r="N24" s="27"/>
    </row>
    <row r="25" spans="1:14" s="27" customFormat="1" ht="14.25" x14ac:dyDescent="0.3">
      <c r="A25" s="37" t="s">
        <v>143</v>
      </c>
      <c r="B25" s="38" t="s">
        <v>43</v>
      </c>
      <c r="C25" s="40">
        <v>43306</v>
      </c>
      <c r="D25" s="40">
        <v>43336</v>
      </c>
      <c r="E25" s="39">
        <v>29920</v>
      </c>
      <c r="F25" s="41">
        <v>383.13</v>
      </c>
      <c r="G25" s="109">
        <v>0</v>
      </c>
      <c r="H25" s="43" t="s">
        <v>135</v>
      </c>
      <c r="I25" s="44">
        <v>11423980</v>
      </c>
      <c r="J25" s="171"/>
      <c r="K25" s="33"/>
      <c r="L25" s="154"/>
      <c r="M25" s="80"/>
    </row>
    <row r="26" spans="1:14" s="28" customFormat="1" ht="14.25" x14ac:dyDescent="0.3">
      <c r="A26" s="129" t="s">
        <v>144</v>
      </c>
      <c r="B26" s="130" t="s">
        <v>45</v>
      </c>
      <c r="C26" s="172">
        <v>43298</v>
      </c>
      <c r="D26" s="172">
        <v>43328</v>
      </c>
      <c r="E26" s="131">
        <v>41800</v>
      </c>
      <c r="F26" s="133">
        <v>383.78</v>
      </c>
      <c r="G26" s="134">
        <v>0</v>
      </c>
      <c r="H26" s="168" t="s">
        <v>135</v>
      </c>
      <c r="I26" s="173">
        <v>16874410</v>
      </c>
      <c r="J26" s="169"/>
      <c r="K26" s="170"/>
      <c r="L26" s="151"/>
      <c r="M26" s="174"/>
      <c r="N26" s="27"/>
    </row>
    <row r="27" spans="1:14" s="28" customFormat="1" ht="14.25" x14ac:dyDescent="0.3">
      <c r="A27" s="37" t="s">
        <v>145</v>
      </c>
      <c r="B27" s="38" t="s">
        <v>47</v>
      </c>
      <c r="C27" s="175">
        <v>43305</v>
      </c>
      <c r="D27" s="176">
        <v>43333</v>
      </c>
      <c r="E27" s="39">
        <v>0</v>
      </c>
      <c r="F27" s="41">
        <v>0</v>
      </c>
      <c r="G27" s="109">
        <v>0</v>
      </c>
      <c r="H27" s="43" t="s">
        <v>136</v>
      </c>
      <c r="I27" s="127">
        <v>0</v>
      </c>
      <c r="J27" s="141"/>
      <c r="K27" s="177"/>
      <c r="L27" s="164"/>
      <c r="M27" s="80"/>
      <c r="N27" s="27"/>
    </row>
    <row r="28" spans="1:14" s="28" customFormat="1" ht="14.25" x14ac:dyDescent="0.3">
      <c r="A28" s="37" t="s">
        <v>146</v>
      </c>
      <c r="B28" s="38" t="s">
        <v>49</v>
      </c>
      <c r="C28" s="40">
        <v>43299</v>
      </c>
      <c r="D28" s="40">
        <v>43329</v>
      </c>
      <c r="E28" s="39">
        <v>1600</v>
      </c>
      <c r="F28" s="41">
        <v>454.24</v>
      </c>
      <c r="G28" s="109">
        <v>0</v>
      </c>
      <c r="H28" s="43" t="s">
        <v>135</v>
      </c>
      <c r="I28" s="44">
        <v>726790</v>
      </c>
      <c r="J28" s="139"/>
      <c r="K28" s="33"/>
      <c r="L28" s="164"/>
      <c r="M28" s="80"/>
      <c r="N28" s="27"/>
    </row>
    <row r="29" spans="1:14" s="28" customFormat="1" ht="14.25" x14ac:dyDescent="0.3">
      <c r="A29" s="129" t="s">
        <v>147</v>
      </c>
      <c r="B29" s="130" t="s">
        <v>51</v>
      </c>
      <c r="C29" s="132">
        <v>43297</v>
      </c>
      <c r="D29" s="132">
        <v>43328</v>
      </c>
      <c r="E29" s="131">
        <v>178</v>
      </c>
      <c r="F29" s="133">
        <v>454.24</v>
      </c>
      <c r="G29" s="134">
        <v>0</v>
      </c>
      <c r="H29" s="168" t="s">
        <v>135</v>
      </c>
      <c r="I29" s="135">
        <v>80850</v>
      </c>
      <c r="J29" s="169"/>
      <c r="K29" s="170"/>
      <c r="L29" s="154"/>
      <c r="M29" s="80"/>
      <c r="N29" s="27"/>
    </row>
    <row r="30" spans="1:14" s="28" customFormat="1" ht="14.25" x14ac:dyDescent="0.3">
      <c r="A30" s="37" t="s">
        <v>148</v>
      </c>
      <c r="B30" s="38" t="s">
        <v>53</v>
      </c>
      <c r="C30" s="40">
        <v>43299</v>
      </c>
      <c r="D30" s="40">
        <v>43329</v>
      </c>
      <c r="E30" s="39">
        <v>6160</v>
      </c>
      <c r="F30" s="41">
        <v>454.24</v>
      </c>
      <c r="G30" s="109">
        <v>0</v>
      </c>
      <c r="H30" s="43" t="s">
        <v>135</v>
      </c>
      <c r="I30" s="44">
        <v>2798120</v>
      </c>
      <c r="J30" s="139"/>
      <c r="K30" s="33"/>
      <c r="L30" s="154"/>
      <c r="M30" s="80"/>
      <c r="N30" s="27"/>
    </row>
    <row r="31" spans="1:14" s="28" customFormat="1" ht="14.25" x14ac:dyDescent="0.3">
      <c r="A31" s="178" t="s">
        <v>151</v>
      </c>
      <c r="B31" s="179" t="s">
        <v>59</v>
      </c>
      <c r="C31" s="181">
        <v>43306</v>
      </c>
      <c r="D31" s="181">
        <v>43336</v>
      </c>
      <c r="E31" s="180">
        <v>6160</v>
      </c>
      <c r="F31" s="182">
        <v>454.24</v>
      </c>
      <c r="G31" s="109">
        <v>0</v>
      </c>
      <c r="H31" s="183" t="s">
        <v>135</v>
      </c>
      <c r="I31" s="184">
        <v>2798120</v>
      </c>
      <c r="J31" s="142"/>
      <c r="K31" s="177"/>
      <c r="L31" s="151"/>
      <c r="M31" s="80"/>
      <c r="N31" s="27"/>
    </row>
    <row r="32" spans="1:14" s="27" customFormat="1" ht="14.25" x14ac:dyDescent="0.3">
      <c r="A32" s="178" t="s">
        <v>152</v>
      </c>
      <c r="B32" s="179" t="s">
        <v>61</v>
      </c>
      <c r="C32" s="181">
        <v>43297</v>
      </c>
      <c r="D32" s="181">
        <v>43327</v>
      </c>
      <c r="E32" s="180">
        <v>23200</v>
      </c>
      <c r="F32" s="182">
        <v>454.24</v>
      </c>
      <c r="G32" s="185">
        <v>0</v>
      </c>
      <c r="H32" s="183" t="s">
        <v>135</v>
      </c>
      <c r="I32" s="184">
        <v>10269710</v>
      </c>
      <c r="J32" s="186"/>
      <c r="K32" s="177"/>
      <c r="L32" s="151"/>
      <c r="M32" s="80"/>
    </row>
    <row r="33" spans="1:14" s="28" customFormat="1" ht="14.25" x14ac:dyDescent="0.3">
      <c r="A33" s="178" t="s">
        <v>153</v>
      </c>
      <c r="B33" s="187" t="s">
        <v>63</v>
      </c>
      <c r="C33" s="181">
        <v>43299</v>
      </c>
      <c r="D33" s="181">
        <v>43329</v>
      </c>
      <c r="E33" s="180">
        <v>7040</v>
      </c>
      <c r="F33" s="182">
        <v>420.72</v>
      </c>
      <c r="G33" s="185">
        <v>0</v>
      </c>
      <c r="H33" s="183" t="s">
        <v>136</v>
      </c>
      <c r="I33" s="184">
        <v>2961870</v>
      </c>
      <c r="J33" s="142"/>
      <c r="K33" s="177"/>
      <c r="L33" s="164"/>
      <c r="M33" s="80"/>
      <c r="N33" s="27"/>
    </row>
    <row r="34" spans="1:14" s="28" customFormat="1" ht="14.25" x14ac:dyDescent="0.3">
      <c r="A34" s="37" t="s">
        <v>154</v>
      </c>
      <c r="B34" s="38" t="s">
        <v>65</v>
      </c>
      <c r="C34" s="40">
        <v>43298</v>
      </c>
      <c r="D34" s="40">
        <v>43329</v>
      </c>
      <c r="E34" s="39">
        <v>1705</v>
      </c>
      <c r="F34" s="41">
        <v>454.24</v>
      </c>
      <c r="G34" s="109">
        <v>0</v>
      </c>
      <c r="H34" s="43" t="s">
        <v>135</v>
      </c>
      <c r="I34" s="44">
        <v>774480</v>
      </c>
      <c r="J34" s="139"/>
      <c r="K34" s="33"/>
      <c r="L34" s="164"/>
      <c r="M34" s="80"/>
      <c r="N34" s="27"/>
    </row>
    <row r="35" spans="1:14" s="28" customFormat="1" ht="14.25" x14ac:dyDescent="0.3">
      <c r="A35" s="178" t="s">
        <v>155</v>
      </c>
      <c r="B35" s="179" t="s">
        <v>67</v>
      </c>
      <c r="C35" s="181">
        <v>43288</v>
      </c>
      <c r="D35" s="181">
        <v>43317</v>
      </c>
      <c r="E35" s="180">
        <v>1430</v>
      </c>
      <c r="F35" s="182">
        <v>454.24</v>
      </c>
      <c r="G35" s="185">
        <v>10008.94</v>
      </c>
      <c r="H35" s="183" t="s">
        <v>135</v>
      </c>
      <c r="I35" s="184">
        <v>659570</v>
      </c>
      <c r="J35" s="188"/>
      <c r="K35" s="177"/>
      <c r="L35" s="151"/>
      <c r="M35" s="80"/>
      <c r="N35" s="27"/>
    </row>
    <row r="36" spans="1:14" s="28" customFormat="1" ht="14.25" x14ac:dyDescent="0.3">
      <c r="A36" s="178" t="s">
        <v>156</v>
      </c>
      <c r="B36" s="179" t="s">
        <v>69</v>
      </c>
      <c r="C36" s="181">
        <v>43299</v>
      </c>
      <c r="D36" s="181">
        <v>43329</v>
      </c>
      <c r="E36" s="180">
        <v>6800</v>
      </c>
      <c r="F36" s="182">
        <v>454.24</v>
      </c>
      <c r="G36" s="185">
        <v>0</v>
      </c>
      <c r="H36" s="183" t="s">
        <v>135</v>
      </c>
      <c r="I36" s="184">
        <v>3088830</v>
      </c>
      <c r="J36" s="142"/>
      <c r="K36" s="177"/>
      <c r="L36" s="164"/>
      <c r="M36" s="80"/>
      <c r="N36" s="27"/>
    </row>
    <row r="37" spans="1:14" s="28" customFormat="1" ht="14.25" x14ac:dyDescent="0.3">
      <c r="A37" s="129" t="s">
        <v>157</v>
      </c>
      <c r="B37" s="130" t="s">
        <v>71</v>
      </c>
      <c r="C37" s="132">
        <v>43297</v>
      </c>
      <c r="D37" s="132">
        <v>43327</v>
      </c>
      <c r="E37" s="131">
        <v>3760</v>
      </c>
      <c r="F37" s="133">
        <v>420.72</v>
      </c>
      <c r="G37" s="134">
        <v>0</v>
      </c>
      <c r="H37" s="168" t="s">
        <v>135</v>
      </c>
      <c r="I37" s="135">
        <v>1581910</v>
      </c>
      <c r="J37" s="169"/>
      <c r="K37" s="170"/>
      <c r="L37" s="189"/>
      <c r="M37" s="190"/>
      <c r="N37" s="27"/>
    </row>
    <row r="38" spans="1:14" s="28" customFormat="1" ht="14.25" x14ac:dyDescent="0.3">
      <c r="A38" s="178" t="s">
        <v>158</v>
      </c>
      <c r="B38" s="179" t="s">
        <v>73</v>
      </c>
      <c r="C38" s="181">
        <v>43302</v>
      </c>
      <c r="D38" s="181">
        <v>43334</v>
      </c>
      <c r="E38" s="180">
        <v>1562</v>
      </c>
      <c r="F38" s="182">
        <v>454.24</v>
      </c>
      <c r="G38" s="185">
        <v>0</v>
      </c>
      <c r="H38" s="183" t="s">
        <v>135</v>
      </c>
      <c r="I38" s="184">
        <v>709530</v>
      </c>
      <c r="J38" s="142"/>
      <c r="K38" s="177"/>
      <c r="L38" s="164"/>
      <c r="M38" s="80"/>
      <c r="N38" s="27"/>
    </row>
    <row r="39" spans="1:14" s="28" customFormat="1" ht="14.25" x14ac:dyDescent="0.3">
      <c r="A39" s="37" t="s">
        <v>180</v>
      </c>
      <c r="B39" s="38" t="s">
        <v>116</v>
      </c>
      <c r="C39" s="40">
        <v>43297</v>
      </c>
      <c r="D39" s="40">
        <v>43328</v>
      </c>
      <c r="E39" s="39">
        <v>10800</v>
      </c>
      <c r="F39" s="41">
        <v>454.24</v>
      </c>
      <c r="G39" s="109">
        <v>0</v>
      </c>
      <c r="H39" s="43" t="s">
        <v>135</v>
      </c>
      <c r="I39" s="44">
        <v>4905800</v>
      </c>
      <c r="J39" s="140"/>
      <c r="K39" s="33"/>
      <c r="L39" s="164"/>
      <c r="M39" s="80"/>
      <c r="N39" s="27"/>
    </row>
    <row r="40" spans="1:14" s="28" customFormat="1" ht="14.25" x14ac:dyDescent="0.3">
      <c r="A40" s="37" t="s">
        <v>160</v>
      </c>
      <c r="B40" s="38" t="s">
        <v>77</v>
      </c>
      <c r="C40" s="40">
        <v>43306</v>
      </c>
      <c r="D40" s="40">
        <v>43336</v>
      </c>
      <c r="E40" s="39">
        <v>8280</v>
      </c>
      <c r="F40" s="41">
        <v>454.24</v>
      </c>
      <c r="G40" s="109">
        <v>0</v>
      </c>
      <c r="H40" s="43" t="s">
        <v>135</v>
      </c>
      <c r="I40" s="127">
        <v>3705450</v>
      </c>
      <c r="J40" s="141"/>
      <c r="K40" s="33"/>
      <c r="L40" s="151"/>
      <c r="M40" s="80"/>
      <c r="N40" s="27"/>
    </row>
    <row r="41" spans="1:14" s="28" customFormat="1" ht="14.25" x14ac:dyDescent="0.3">
      <c r="A41" s="37" t="s">
        <v>161</v>
      </c>
      <c r="B41" s="38" t="s">
        <v>79</v>
      </c>
      <c r="C41" s="40">
        <v>43297</v>
      </c>
      <c r="D41" s="40">
        <v>43328</v>
      </c>
      <c r="E41" s="39">
        <v>9440</v>
      </c>
      <c r="F41" s="41">
        <v>420.72</v>
      </c>
      <c r="G41" s="109">
        <v>0</v>
      </c>
      <c r="H41" s="43" t="s">
        <v>135</v>
      </c>
      <c r="I41" s="44">
        <v>3971600</v>
      </c>
      <c r="J41" s="140"/>
      <c r="K41" s="33"/>
      <c r="L41" s="164"/>
      <c r="M41" s="80"/>
      <c r="N41" s="27"/>
    </row>
    <row r="42" spans="1:14" s="28" customFormat="1" ht="14.25" x14ac:dyDescent="0.3">
      <c r="A42" s="191" t="s">
        <v>162</v>
      </c>
      <c r="B42" s="192" t="s">
        <v>81</v>
      </c>
      <c r="C42" s="132">
        <v>43292</v>
      </c>
      <c r="D42" s="132">
        <v>43321</v>
      </c>
      <c r="E42" s="131">
        <v>3903</v>
      </c>
      <c r="F42" s="133">
        <v>454.24</v>
      </c>
      <c r="G42" s="134">
        <v>0</v>
      </c>
      <c r="H42" s="168" t="s">
        <v>135</v>
      </c>
      <c r="I42" s="135">
        <v>1772900</v>
      </c>
      <c r="J42" s="169"/>
      <c r="K42" s="170"/>
      <c r="L42" s="193"/>
      <c r="M42" s="190"/>
      <c r="N42" s="27"/>
    </row>
    <row r="43" spans="1:14" s="28" customFormat="1" ht="14.25" x14ac:dyDescent="0.3">
      <c r="A43" s="59" t="s">
        <v>163</v>
      </c>
      <c r="B43" s="49" t="s">
        <v>83</v>
      </c>
      <c r="C43" s="40">
        <v>43297</v>
      </c>
      <c r="D43" s="40">
        <v>43328</v>
      </c>
      <c r="E43" s="39">
        <v>9540</v>
      </c>
      <c r="F43" s="41">
        <v>420.72</v>
      </c>
      <c r="G43" s="109">
        <v>0</v>
      </c>
      <c r="H43" s="43" t="s">
        <v>135</v>
      </c>
      <c r="I43" s="44">
        <v>4013670</v>
      </c>
      <c r="J43" s="140"/>
      <c r="K43" s="33"/>
      <c r="L43" s="151"/>
      <c r="M43" s="80"/>
      <c r="N43" s="27"/>
    </row>
    <row r="44" spans="1:14" s="28" customFormat="1" ht="14.25" x14ac:dyDescent="0.3">
      <c r="A44" s="37" t="s">
        <v>196</v>
      </c>
      <c r="B44" s="49" t="s">
        <v>85</v>
      </c>
      <c r="C44" s="40">
        <v>43307</v>
      </c>
      <c r="D44" s="40">
        <v>43336</v>
      </c>
      <c r="E44" s="39">
        <v>6560</v>
      </c>
      <c r="F44" s="41">
        <v>420.72</v>
      </c>
      <c r="G44" s="109">
        <v>0</v>
      </c>
      <c r="H44" s="43" t="s">
        <v>135</v>
      </c>
      <c r="I44" s="44">
        <v>3146210</v>
      </c>
      <c r="J44" s="139"/>
      <c r="K44" s="33"/>
      <c r="L44" s="164"/>
      <c r="M44" s="80"/>
      <c r="N44" s="27"/>
    </row>
    <row r="45" spans="1:14" s="28" customFormat="1" ht="14.25" x14ac:dyDescent="0.3">
      <c r="A45" s="129" t="s">
        <v>166</v>
      </c>
      <c r="B45" s="130" t="s">
        <v>89</v>
      </c>
      <c r="C45" s="132">
        <v>43272</v>
      </c>
      <c r="D45" s="132">
        <v>43302</v>
      </c>
      <c r="E45" s="131">
        <v>15680</v>
      </c>
      <c r="F45" s="133">
        <v>448.89</v>
      </c>
      <c r="G45" s="134">
        <v>0</v>
      </c>
      <c r="H45" s="168" t="s">
        <v>135</v>
      </c>
      <c r="I45" s="135">
        <v>7038600</v>
      </c>
      <c r="J45" s="194"/>
      <c r="K45" s="170"/>
      <c r="L45" s="154"/>
      <c r="M45" s="80"/>
      <c r="N45" s="27"/>
    </row>
    <row r="46" spans="1:14" s="28" customFormat="1" ht="14.25" x14ac:dyDescent="0.3">
      <c r="A46" s="37" t="s">
        <v>167</v>
      </c>
      <c r="B46" s="38" t="s">
        <v>91</v>
      </c>
      <c r="C46" s="40">
        <v>43307</v>
      </c>
      <c r="D46" s="40">
        <v>43336</v>
      </c>
      <c r="E46" s="39">
        <v>4560</v>
      </c>
      <c r="F46" s="41">
        <v>420.72</v>
      </c>
      <c r="G46" s="109">
        <v>0</v>
      </c>
      <c r="H46" s="43" t="s">
        <v>135</v>
      </c>
      <c r="I46" s="44">
        <v>1992670</v>
      </c>
      <c r="J46" s="139"/>
      <c r="K46" s="33"/>
      <c r="L46" s="151"/>
      <c r="M46" s="80"/>
      <c r="N46" s="27"/>
    </row>
    <row r="47" spans="1:14" s="28" customFormat="1" ht="14.25" x14ac:dyDescent="0.3">
      <c r="A47" s="37" t="s">
        <v>168</v>
      </c>
      <c r="B47" s="38" t="s">
        <v>93</v>
      </c>
      <c r="C47" s="40">
        <v>43304</v>
      </c>
      <c r="D47" s="40">
        <v>43334</v>
      </c>
      <c r="E47" s="39">
        <v>4640</v>
      </c>
      <c r="F47" s="41">
        <v>420.72</v>
      </c>
      <c r="G47" s="109">
        <v>0</v>
      </c>
      <c r="H47" s="43" t="s">
        <v>135</v>
      </c>
      <c r="I47" s="44">
        <v>1952140</v>
      </c>
      <c r="J47" s="139"/>
      <c r="K47" s="33"/>
      <c r="L47" s="151"/>
      <c r="M47" s="80"/>
      <c r="N47" s="27"/>
    </row>
    <row r="48" spans="1:14" s="28" customFormat="1" ht="14.25" x14ac:dyDescent="0.3">
      <c r="A48" s="37" t="s">
        <v>169</v>
      </c>
      <c r="B48" s="38" t="s">
        <v>95</v>
      </c>
      <c r="C48" s="40">
        <v>43306</v>
      </c>
      <c r="D48" s="40">
        <v>43336</v>
      </c>
      <c r="E48" s="39">
        <v>8160</v>
      </c>
      <c r="F48" s="41">
        <v>420.72</v>
      </c>
      <c r="G48" s="109">
        <v>0</v>
      </c>
      <c r="H48" s="43" t="s">
        <v>135</v>
      </c>
      <c r="I48" s="44">
        <v>3416250</v>
      </c>
      <c r="J48" s="139"/>
      <c r="K48" s="33"/>
      <c r="L48" s="154"/>
      <c r="M48" s="80"/>
      <c r="N48" s="27"/>
    </row>
    <row r="49" spans="1:14" s="28" customFormat="1" ht="14.25" x14ac:dyDescent="0.3">
      <c r="A49" s="37" t="s">
        <v>170</v>
      </c>
      <c r="B49" s="38" t="s">
        <v>97</v>
      </c>
      <c r="C49" s="40" t="s">
        <v>171</v>
      </c>
      <c r="D49" s="40" t="s">
        <v>171</v>
      </c>
      <c r="E49" s="39">
        <v>0</v>
      </c>
      <c r="F49" s="41">
        <v>0</v>
      </c>
      <c r="G49" s="109">
        <v>0</v>
      </c>
      <c r="H49" s="40" t="s">
        <v>171</v>
      </c>
      <c r="I49" s="44">
        <v>0</v>
      </c>
      <c r="J49" s="33"/>
      <c r="K49" s="33"/>
      <c r="L49" s="195"/>
      <c r="M49" s="80"/>
      <c r="N49" s="27"/>
    </row>
    <row r="50" spans="1:14" s="28" customFormat="1" ht="14.25" x14ac:dyDescent="0.3">
      <c r="A50" s="37" t="s">
        <v>172</v>
      </c>
      <c r="B50" s="49" t="s">
        <v>100</v>
      </c>
      <c r="C50" s="40">
        <v>43302</v>
      </c>
      <c r="D50" s="40">
        <v>43334</v>
      </c>
      <c r="E50" s="39">
        <v>6800</v>
      </c>
      <c r="F50" s="41">
        <v>420.72</v>
      </c>
      <c r="G50" s="109">
        <v>0</v>
      </c>
      <c r="H50" s="61" t="s">
        <v>135</v>
      </c>
      <c r="I50" s="44">
        <v>2860890</v>
      </c>
      <c r="J50" s="139"/>
      <c r="K50" s="33"/>
      <c r="L50" s="164"/>
      <c r="M50" s="80"/>
      <c r="N50" s="27"/>
    </row>
    <row r="51" spans="1:14" s="28" customFormat="1" ht="14.25" x14ac:dyDescent="0.3">
      <c r="A51" s="178" t="s">
        <v>173</v>
      </c>
      <c r="B51" s="179" t="s">
        <v>102</v>
      </c>
      <c r="C51" s="181">
        <v>43294</v>
      </c>
      <c r="D51" s="181">
        <v>43323</v>
      </c>
      <c r="E51" s="180">
        <v>2518</v>
      </c>
      <c r="F51" s="182">
        <v>454.24</v>
      </c>
      <c r="G51" s="185">
        <v>0</v>
      </c>
      <c r="H51" s="183" t="s">
        <v>135</v>
      </c>
      <c r="I51" s="184">
        <v>1138780</v>
      </c>
      <c r="J51" s="142"/>
      <c r="K51" s="177"/>
      <c r="L51" s="154"/>
      <c r="M51" s="80"/>
      <c r="N51" s="27"/>
    </row>
    <row r="52" spans="1:14" s="28" customFormat="1" ht="14.25" x14ac:dyDescent="0.3">
      <c r="A52" s="129" t="s">
        <v>174</v>
      </c>
      <c r="B52" s="130" t="s">
        <v>104</v>
      </c>
      <c r="C52" s="132">
        <v>43302</v>
      </c>
      <c r="D52" s="132">
        <v>43334</v>
      </c>
      <c r="E52" s="131">
        <v>7920</v>
      </c>
      <c r="F52" s="133">
        <v>454.24</v>
      </c>
      <c r="G52" s="134">
        <v>0</v>
      </c>
      <c r="H52" s="168" t="s">
        <v>135</v>
      </c>
      <c r="I52" s="135">
        <v>3597580</v>
      </c>
      <c r="J52" s="169"/>
      <c r="K52" s="170"/>
      <c r="L52" s="154"/>
      <c r="M52" s="80"/>
      <c r="N52" s="27"/>
    </row>
    <row r="53" spans="1:14" s="28" customFormat="1" ht="14.25" x14ac:dyDescent="0.3">
      <c r="A53" s="178" t="s">
        <v>175</v>
      </c>
      <c r="B53" s="179" t="s">
        <v>106</v>
      </c>
      <c r="C53" s="181">
        <v>43299</v>
      </c>
      <c r="D53" s="181">
        <v>43329</v>
      </c>
      <c r="E53" s="180">
        <v>2336</v>
      </c>
      <c r="F53" s="182">
        <v>454.24</v>
      </c>
      <c r="G53" s="185">
        <v>0</v>
      </c>
      <c r="H53" s="183" t="s">
        <v>135</v>
      </c>
      <c r="I53" s="184">
        <v>1061100</v>
      </c>
      <c r="J53" s="196"/>
      <c r="K53" s="177"/>
      <c r="L53" s="164"/>
      <c r="M53" s="80"/>
      <c r="N53" s="27"/>
    </row>
    <row r="54" spans="1:14" s="28" customFormat="1" ht="14.25" x14ac:dyDescent="0.3">
      <c r="A54" s="178" t="s">
        <v>176</v>
      </c>
      <c r="B54" s="179" t="s">
        <v>108</v>
      </c>
      <c r="C54" s="181">
        <v>43304</v>
      </c>
      <c r="D54" s="181">
        <v>43333</v>
      </c>
      <c r="E54" s="180">
        <v>3619</v>
      </c>
      <c r="F54" s="182">
        <v>420.72</v>
      </c>
      <c r="G54" s="185">
        <v>0</v>
      </c>
      <c r="H54" s="183" t="s">
        <v>135</v>
      </c>
      <c r="I54" s="184">
        <v>1529090</v>
      </c>
      <c r="J54" s="142"/>
      <c r="K54" s="177"/>
      <c r="L54" s="164"/>
      <c r="M54" s="80"/>
      <c r="N54" s="27"/>
    </row>
    <row r="55" spans="1:14" s="28" customFormat="1" ht="14.25" x14ac:dyDescent="0.3">
      <c r="A55" s="37" t="s">
        <v>177</v>
      </c>
      <c r="B55" s="38" t="s">
        <v>110</v>
      </c>
      <c r="C55" s="40">
        <v>43302</v>
      </c>
      <c r="D55" s="40">
        <v>43334</v>
      </c>
      <c r="E55" s="39">
        <v>8720</v>
      </c>
      <c r="F55" s="41">
        <v>420.72</v>
      </c>
      <c r="G55" s="109">
        <v>8705.81</v>
      </c>
      <c r="H55" s="43" t="s">
        <v>135</v>
      </c>
      <c r="I55" s="44">
        <v>3677390</v>
      </c>
      <c r="J55" s="140"/>
      <c r="K55" s="33"/>
      <c r="L55" s="151"/>
      <c r="M55" s="80"/>
      <c r="N55" s="27"/>
    </row>
    <row r="56" spans="1:14" s="27" customFormat="1" ht="14.25" x14ac:dyDescent="0.3">
      <c r="A56" s="37" t="s">
        <v>178</v>
      </c>
      <c r="B56" s="38" t="s">
        <v>112</v>
      </c>
      <c r="C56" s="40">
        <v>43305</v>
      </c>
      <c r="D56" s="40">
        <v>43335</v>
      </c>
      <c r="E56" s="39">
        <v>1445</v>
      </c>
      <c r="F56" s="41">
        <v>454.24</v>
      </c>
      <c r="G56" s="109">
        <v>0</v>
      </c>
      <c r="H56" s="43" t="s">
        <v>135</v>
      </c>
      <c r="I56" s="44">
        <v>656370</v>
      </c>
      <c r="J56" s="141"/>
      <c r="K56" s="33"/>
      <c r="L56" s="164"/>
      <c r="M56" s="80"/>
    </row>
    <row r="57" spans="1:14" s="27" customFormat="1" ht="14.25" x14ac:dyDescent="0.3">
      <c r="A57" s="178" t="s">
        <v>179</v>
      </c>
      <c r="B57" s="179" t="s">
        <v>114</v>
      </c>
      <c r="C57" s="181">
        <v>43306</v>
      </c>
      <c r="D57" s="181">
        <v>43336</v>
      </c>
      <c r="E57" s="180">
        <v>7600</v>
      </c>
      <c r="F57" s="182">
        <v>420.72</v>
      </c>
      <c r="G57" s="185">
        <v>0</v>
      </c>
      <c r="H57" s="183" t="s">
        <v>135</v>
      </c>
      <c r="I57" s="184">
        <v>3197470</v>
      </c>
      <c r="J57" s="142"/>
      <c r="K57" s="177"/>
      <c r="L57" s="164"/>
      <c r="M57" s="80"/>
    </row>
    <row r="58" spans="1:14" s="27" customFormat="1" ht="14.25" x14ac:dyDescent="0.3">
      <c r="A58" s="178" t="s">
        <v>217</v>
      </c>
      <c r="B58" s="179" t="s">
        <v>218</v>
      </c>
      <c r="C58" s="181">
        <v>43306</v>
      </c>
      <c r="D58" s="181">
        <v>43336</v>
      </c>
      <c r="E58" s="180">
        <v>880</v>
      </c>
      <c r="F58" s="182">
        <v>383.13</v>
      </c>
      <c r="G58" s="185">
        <v>0</v>
      </c>
      <c r="H58" s="181" t="s">
        <v>135</v>
      </c>
      <c r="I58" s="184">
        <v>918110</v>
      </c>
      <c r="J58" s="142"/>
      <c r="K58" s="177"/>
      <c r="L58" s="197"/>
      <c r="M58" s="80"/>
    </row>
    <row r="59" spans="1:14" s="27" customFormat="1" ht="14.25" x14ac:dyDescent="0.3">
      <c r="A59" s="178" t="s">
        <v>227</v>
      </c>
      <c r="B59" s="179" t="s">
        <v>228</v>
      </c>
      <c r="C59" s="181">
        <v>43304</v>
      </c>
      <c r="D59" s="181">
        <v>43334</v>
      </c>
      <c r="E59" s="180">
        <v>12760</v>
      </c>
      <c r="F59" s="182">
        <v>383.13</v>
      </c>
      <c r="G59" s="185">
        <v>0</v>
      </c>
      <c r="H59" s="183" t="s">
        <v>135</v>
      </c>
      <c r="I59" s="198">
        <v>4893410</v>
      </c>
      <c r="J59" s="142"/>
      <c r="K59" s="177"/>
      <c r="L59" s="154"/>
      <c r="M59" s="80"/>
    </row>
    <row r="60" spans="1:14" s="27" customFormat="1" ht="14.25" x14ac:dyDescent="0.3">
      <c r="A60" s="356" t="s">
        <v>198</v>
      </c>
      <c r="B60" s="356" t="s">
        <v>4</v>
      </c>
      <c r="C60" s="356" t="s">
        <v>6</v>
      </c>
      <c r="D60" s="356"/>
      <c r="E60" s="150" t="s">
        <v>7</v>
      </c>
      <c r="F60" s="150" t="s">
        <v>132</v>
      </c>
      <c r="G60" s="356" t="s">
        <v>133</v>
      </c>
      <c r="H60" s="356" t="s">
        <v>134</v>
      </c>
      <c r="I60" s="353" t="s">
        <v>11</v>
      </c>
      <c r="J60" s="354"/>
      <c r="K60" s="354"/>
      <c r="L60" s="80"/>
      <c r="M60" s="80"/>
    </row>
    <row r="61" spans="1:14" s="27" customFormat="1" ht="14.25" x14ac:dyDescent="0.3">
      <c r="A61" s="356"/>
      <c r="B61" s="356"/>
      <c r="C61" s="150" t="s">
        <v>15</v>
      </c>
      <c r="D61" s="150" t="s">
        <v>16</v>
      </c>
      <c r="E61" s="150" t="s">
        <v>17</v>
      </c>
      <c r="F61" s="150" t="s">
        <v>17</v>
      </c>
      <c r="G61" s="356"/>
      <c r="H61" s="356"/>
      <c r="I61" s="353"/>
      <c r="J61" s="354"/>
      <c r="K61" s="354"/>
      <c r="L61" s="80"/>
      <c r="M61" s="80"/>
    </row>
    <row r="62" spans="1:14" s="27" customFormat="1" ht="14.25" x14ac:dyDescent="0.3">
      <c r="A62" s="129" t="s">
        <v>149</v>
      </c>
      <c r="B62" s="130" t="s">
        <v>55</v>
      </c>
      <c r="C62" s="132">
        <v>43302</v>
      </c>
      <c r="D62" s="132">
        <v>43333</v>
      </c>
      <c r="E62" s="131">
        <v>124</v>
      </c>
      <c r="F62" s="133">
        <v>454.24</v>
      </c>
      <c r="G62" s="134">
        <v>484.23</v>
      </c>
      <c r="H62" s="168" t="s">
        <v>135</v>
      </c>
      <c r="I62" s="135">
        <v>56810</v>
      </c>
      <c r="J62" s="194"/>
      <c r="K62" s="170"/>
      <c r="L62" s="193"/>
      <c r="M62" s="190"/>
    </row>
    <row r="63" spans="1:14" s="27" customFormat="1" ht="14.25" x14ac:dyDescent="0.3">
      <c r="A63" s="37" t="s">
        <v>150</v>
      </c>
      <c r="B63" s="38" t="s">
        <v>57</v>
      </c>
      <c r="C63" s="40">
        <v>43302</v>
      </c>
      <c r="D63" s="40">
        <v>43333</v>
      </c>
      <c r="E63" s="39">
        <v>0</v>
      </c>
      <c r="F63" s="41">
        <v>0</v>
      </c>
      <c r="G63" s="109">
        <v>0</v>
      </c>
      <c r="H63" s="43" t="s">
        <v>135</v>
      </c>
      <c r="I63" s="44">
        <v>0</v>
      </c>
      <c r="J63" s="141"/>
      <c r="K63" s="199"/>
      <c r="L63" s="164"/>
      <c r="M63" s="80"/>
    </row>
    <row r="64" spans="1:14" s="27" customFormat="1" ht="14.25" x14ac:dyDescent="0.3">
      <c r="A64" s="37" t="s">
        <v>165</v>
      </c>
      <c r="B64" s="49" t="s">
        <v>87</v>
      </c>
      <c r="C64" s="40">
        <v>43300</v>
      </c>
      <c r="D64" s="40">
        <v>43333</v>
      </c>
      <c r="E64" s="39">
        <v>0</v>
      </c>
      <c r="F64" s="41">
        <v>0</v>
      </c>
      <c r="G64" s="109">
        <v>0</v>
      </c>
      <c r="H64" s="43" t="s">
        <v>136</v>
      </c>
      <c r="I64" s="44">
        <v>0</v>
      </c>
      <c r="J64" s="141"/>
      <c r="K64" s="199"/>
      <c r="L64" s="164"/>
      <c r="M64" s="80"/>
    </row>
    <row r="65" spans="1:13" s="27" customFormat="1" ht="15" customHeight="1" x14ac:dyDescent="0.3">
      <c r="A65" s="62"/>
      <c r="B65" s="63"/>
      <c r="C65" s="65"/>
      <c r="D65" s="65"/>
      <c r="E65" s="103">
        <f>SUM(E9:E64)</f>
        <v>884880</v>
      </c>
      <c r="F65" s="103">
        <f>SUM(E9:E59)</f>
        <v>884756</v>
      </c>
      <c r="G65" s="113"/>
      <c r="H65" s="68"/>
      <c r="I65" s="105"/>
      <c r="J65" s="71"/>
      <c r="K65" s="71"/>
      <c r="L65" s="80"/>
      <c r="M65" s="80"/>
    </row>
    <row r="66" spans="1:13" s="27" customFormat="1" ht="15" customHeight="1" x14ac:dyDescent="0.3">
      <c r="A66" s="357"/>
      <c r="B66" s="357"/>
      <c r="C66" s="357"/>
      <c r="D66" s="357"/>
      <c r="E66" s="200"/>
      <c r="G66" s="342" t="s">
        <v>200</v>
      </c>
      <c r="H66" s="342"/>
      <c r="I66" s="201">
        <f>SUM(I9:I59)</f>
        <v>351609400</v>
      </c>
      <c r="J66" s="71"/>
      <c r="K66" s="71"/>
    </row>
    <row r="67" spans="1:13" s="27" customFormat="1" ht="15" customHeight="1" x14ac:dyDescent="0.3">
      <c r="A67" s="357"/>
      <c r="B67" s="357"/>
      <c r="C67" s="357"/>
      <c r="D67" s="357"/>
      <c r="E67" s="200"/>
      <c r="G67" s="358" t="s">
        <v>201</v>
      </c>
      <c r="H67" s="358"/>
      <c r="I67" s="106">
        <f>SUM(I62:I64)</f>
        <v>56810</v>
      </c>
      <c r="J67" s="71"/>
      <c r="K67" s="71"/>
    </row>
    <row r="68" spans="1:13" s="27" customFormat="1" ht="15" customHeight="1" x14ac:dyDescent="0.3">
      <c r="A68" s="357"/>
      <c r="B68" s="357"/>
      <c r="C68" s="357"/>
      <c r="D68" s="357"/>
      <c r="E68" s="200"/>
      <c r="F68" s="202"/>
      <c r="G68" s="203"/>
      <c r="H68" s="203"/>
      <c r="I68" s="106"/>
      <c r="J68" s="71"/>
      <c r="K68" s="71"/>
    </row>
    <row r="69" spans="1:13" s="27" customFormat="1" ht="15" customHeight="1" x14ac:dyDescent="0.3">
      <c r="A69" s="357"/>
      <c r="B69" s="357"/>
      <c r="C69" s="357"/>
      <c r="D69" s="357"/>
      <c r="E69" s="200"/>
      <c r="F69" s="80"/>
      <c r="G69" s="343" t="s">
        <v>203</v>
      </c>
      <c r="H69" s="343"/>
      <c r="I69" s="204">
        <f>SUM(I66:I68)</f>
        <v>351666210</v>
      </c>
      <c r="J69" s="71"/>
      <c r="K69" s="71"/>
    </row>
    <row r="70" spans="1:13" s="27" customFormat="1" ht="15" customHeight="1" x14ac:dyDescent="0.3">
      <c r="B70" s="70"/>
      <c r="C70" s="70"/>
      <c r="D70" s="71"/>
      <c r="E70" s="72"/>
      <c r="J70" s="71"/>
      <c r="K70" s="71"/>
    </row>
    <row r="71" spans="1:13" s="27" customFormat="1" ht="15" customHeight="1" x14ac:dyDescent="0.3">
      <c r="B71" s="70"/>
      <c r="C71" s="72"/>
      <c r="D71" s="72"/>
      <c r="E71" s="77"/>
      <c r="G71" s="359" t="s">
        <v>244</v>
      </c>
      <c r="H71" s="359"/>
      <c r="I71" s="359"/>
      <c r="J71" s="34"/>
      <c r="K71" s="71"/>
    </row>
    <row r="72" spans="1:13" s="27" customFormat="1" ht="14.25" x14ac:dyDescent="0.3">
      <c r="C72" s="72"/>
      <c r="D72" s="72"/>
      <c r="E72" s="81"/>
      <c r="F72" s="81"/>
      <c r="J72" s="34"/>
      <c r="K72" s="71"/>
    </row>
    <row r="73" spans="1:13" s="27" customFormat="1" ht="14.25" x14ac:dyDescent="0.3">
      <c r="A73" s="27" t="s">
        <v>185</v>
      </c>
      <c r="B73" s="70"/>
      <c r="C73" s="84"/>
      <c r="D73" s="85"/>
      <c r="E73" s="85"/>
      <c r="F73" s="85"/>
      <c r="G73" s="360" t="s">
        <v>245</v>
      </c>
      <c r="H73" s="360"/>
      <c r="I73" s="205">
        <f>+[1]JULIO!J71</f>
        <v>345372006</v>
      </c>
      <c r="J73" s="34"/>
      <c r="K73" s="71"/>
    </row>
    <row r="74" spans="1:13" s="27" customFormat="1" ht="15.75" x14ac:dyDescent="0.3">
      <c r="A74" s="83" t="s">
        <v>186</v>
      </c>
      <c r="B74" s="84"/>
      <c r="C74" s="84"/>
      <c r="D74" s="85"/>
      <c r="E74" s="85"/>
      <c r="F74" s="85"/>
      <c r="G74" s="361" t="s">
        <v>246</v>
      </c>
      <c r="H74" s="361"/>
      <c r="I74" s="206">
        <f>+(I69-I73)/I73</f>
        <v>1.8224418570855449E-2</v>
      </c>
      <c r="J74" s="34"/>
      <c r="K74" s="71"/>
    </row>
    <row r="75" spans="1:13" s="27" customFormat="1" ht="14.25" x14ac:dyDescent="0.3">
      <c r="A75" s="86" t="s">
        <v>187</v>
      </c>
      <c r="B75" s="84"/>
      <c r="C75" s="80"/>
      <c r="D75" s="80"/>
      <c r="E75" s="80"/>
      <c r="F75" s="80"/>
      <c r="G75" s="362" t="s">
        <v>247</v>
      </c>
      <c r="H75" s="362"/>
      <c r="I75" s="207">
        <f>+I69-I73</f>
        <v>6294204</v>
      </c>
      <c r="J75" s="71"/>
      <c r="K75" s="71"/>
    </row>
  </sheetData>
  <mergeCells count="33">
    <mergeCell ref="G71:I71"/>
    <mergeCell ref="G73:H73"/>
    <mergeCell ref="G74:H74"/>
    <mergeCell ref="G75:H75"/>
    <mergeCell ref="I60:I61"/>
    <mergeCell ref="J60:J61"/>
    <mergeCell ref="K60:K61"/>
    <mergeCell ref="A66:D69"/>
    <mergeCell ref="G66:H66"/>
    <mergeCell ref="G67:H67"/>
    <mergeCell ref="G69:H69"/>
    <mergeCell ref="I7:I8"/>
    <mergeCell ref="J7:J8"/>
    <mergeCell ref="K7:K8"/>
    <mergeCell ref="L7:L8"/>
    <mergeCell ref="A60:A61"/>
    <mergeCell ref="B60:B61"/>
    <mergeCell ref="C60:D60"/>
    <mergeCell ref="G60:G61"/>
    <mergeCell ref="H60:H61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6"/>
  <sheetViews>
    <sheetView workbookViewId="0">
      <selection activeCell="D30" sqref="D30"/>
    </sheetView>
  </sheetViews>
  <sheetFormatPr baseColWidth="10" defaultRowHeight="15" x14ac:dyDescent="0.25"/>
  <cols>
    <col min="1" max="1" width="36.42578125" customWidth="1"/>
    <col min="2" max="2" width="26.85546875" customWidth="1"/>
    <col min="9" max="9" width="21.85546875" customWidth="1"/>
    <col min="10" max="10" width="15.140625" customWidth="1"/>
    <col min="11" max="11" width="48.140625" customWidth="1"/>
    <col min="12" max="12" width="26.140625" customWidth="1"/>
  </cols>
  <sheetData>
    <row r="1" spans="1:16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71"/>
      <c r="K1" s="71"/>
      <c r="L1" s="208"/>
      <c r="M1" s="208"/>
      <c r="N1" s="208"/>
      <c r="O1" s="209"/>
      <c r="P1" s="209"/>
    </row>
    <row r="2" spans="1:16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71"/>
      <c r="K2" s="138"/>
      <c r="L2" s="208"/>
      <c r="M2" s="208"/>
      <c r="N2" s="208"/>
      <c r="O2" s="208"/>
      <c r="P2" s="208"/>
    </row>
    <row r="3" spans="1:16" s="27" customFormat="1" ht="14.25" x14ac:dyDescent="0.3">
      <c r="C3" s="332" t="s">
        <v>204</v>
      </c>
      <c r="D3" s="332"/>
      <c r="E3" s="87" t="s">
        <v>121</v>
      </c>
      <c r="F3" s="333" t="s">
        <v>248</v>
      </c>
      <c r="G3" s="334"/>
      <c r="H3" s="334"/>
      <c r="I3" s="335"/>
      <c r="J3" s="71"/>
      <c r="K3" s="71"/>
      <c r="L3" s="208"/>
      <c r="M3" s="208"/>
      <c r="N3" s="208"/>
      <c r="O3" s="208"/>
      <c r="P3" s="208"/>
    </row>
    <row r="4" spans="1:16" s="27" customFormat="1" ht="14.25" x14ac:dyDescent="0.3">
      <c r="C4" s="336" t="s">
        <v>249</v>
      </c>
      <c r="D4" s="336"/>
      <c r="E4" s="326" t="s">
        <v>125</v>
      </c>
      <c r="F4" s="87" t="s">
        <v>190</v>
      </c>
      <c r="G4" s="332" t="s">
        <v>239</v>
      </c>
      <c r="H4" s="332"/>
      <c r="I4" s="332"/>
      <c r="J4" s="71"/>
      <c r="K4" s="71"/>
      <c r="L4" s="208"/>
      <c r="M4" s="208"/>
      <c r="N4" s="208"/>
      <c r="O4" s="208"/>
      <c r="P4" s="208"/>
    </row>
    <row r="5" spans="1:16" s="27" customFormat="1" ht="14.25" x14ac:dyDescent="0.3">
      <c r="C5" s="337" t="s">
        <v>208</v>
      </c>
      <c r="D5" s="338"/>
      <c r="E5" s="326"/>
      <c r="F5" s="108" t="s">
        <v>192</v>
      </c>
      <c r="G5" s="345" t="s">
        <v>250</v>
      </c>
      <c r="H5" s="339"/>
      <c r="I5" s="339"/>
      <c r="J5" s="71"/>
      <c r="K5" s="71"/>
      <c r="L5" s="208"/>
      <c r="M5" s="208"/>
      <c r="N5" s="208"/>
      <c r="O5" s="208"/>
      <c r="P5" s="208"/>
    </row>
    <row r="6" spans="1:16" s="27" customFormat="1" ht="14.25" x14ac:dyDescent="0.3">
      <c r="B6" s="34"/>
      <c r="C6" s="34"/>
      <c r="D6" s="35"/>
      <c r="G6" s="71"/>
      <c r="H6" s="34"/>
      <c r="I6" s="26"/>
      <c r="J6" s="71"/>
      <c r="K6" s="71"/>
      <c r="L6" s="208"/>
      <c r="M6" s="208"/>
      <c r="N6" s="208"/>
      <c r="O6" s="208"/>
      <c r="P6" s="208"/>
    </row>
    <row r="7" spans="1:16" s="28" customFormat="1" ht="15" customHeight="1" x14ac:dyDescent="0.3">
      <c r="A7" s="356" t="s">
        <v>225</v>
      </c>
      <c r="B7" s="356" t="s">
        <v>226</v>
      </c>
      <c r="C7" s="356" t="s">
        <v>6</v>
      </c>
      <c r="D7" s="356"/>
      <c r="E7" s="150" t="s">
        <v>7</v>
      </c>
      <c r="F7" s="150" t="s">
        <v>132</v>
      </c>
      <c r="G7" s="356" t="s">
        <v>243</v>
      </c>
      <c r="H7" s="356" t="s">
        <v>134</v>
      </c>
      <c r="I7" s="353" t="s">
        <v>11</v>
      </c>
      <c r="J7" s="354"/>
      <c r="K7" s="363"/>
      <c r="L7" s="364"/>
      <c r="M7" s="208"/>
      <c r="N7" s="208"/>
      <c r="O7" s="209"/>
      <c r="P7" s="209"/>
    </row>
    <row r="8" spans="1:16" s="28" customFormat="1" ht="14.25" x14ac:dyDescent="0.3">
      <c r="A8" s="356"/>
      <c r="B8" s="356"/>
      <c r="C8" s="150" t="s">
        <v>15</v>
      </c>
      <c r="D8" s="150" t="s">
        <v>16</v>
      </c>
      <c r="E8" s="150" t="s">
        <v>17</v>
      </c>
      <c r="F8" s="150" t="s">
        <v>17</v>
      </c>
      <c r="G8" s="356"/>
      <c r="H8" s="356"/>
      <c r="I8" s="353"/>
      <c r="J8" s="354"/>
      <c r="K8" s="363"/>
      <c r="L8" s="364"/>
      <c r="M8" s="208"/>
      <c r="N8" s="208"/>
      <c r="O8" s="209"/>
      <c r="P8" s="209"/>
    </row>
    <row r="9" spans="1:16" s="28" customFormat="1" ht="14.25" x14ac:dyDescent="0.3">
      <c r="A9" s="37" t="s">
        <v>18</v>
      </c>
      <c r="B9" s="38" t="s">
        <v>19</v>
      </c>
      <c r="C9" s="40">
        <v>43297</v>
      </c>
      <c r="D9" s="40">
        <v>43326</v>
      </c>
      <c r="E9" s="39">
        <v>85440</v>
      </c>
      <c r="F9" s="41">
        <v>380.72</v>
      </c>
      <c r="G9" s="109">
        <v>0</v>
      </c>
      <c r="H9" s="43" t="s">
        <v>135</v>
      </c>
      <c r="I9" s="210">
        <v>32571900</v>
      </c>
      <c r="J9" s="211"/>
      <c r="K9" s="212"/>
      <c r="L9" s="140"/>
      <c r="M9" s="208"/>
      <c r="N9" s="208"/>
      <c r="O9" s="209"/>
      <c r="P9" s="209"/>
    </row>
    <row r="10" spans="1:16" s="28" customFormat="1" ht="14.25" x14ac:dyDescent="0.3">
      <c r="A10" s="152" t="s">
        <v>20</v>
      </c>
      <c r="B10" s="153" t="s">
        <v>19</v>
      </c>
      <c r="C10" s="40">
        <v>43333</v>
      </c>
      <c r="D10" s="40">
        <v>43362</v>
      </c>
      <c r="E10" s="39">
        <v>2151</v>
      </c>
      <c r="F10" s="41">
        <v>449.92</v>
      </c>
      <c r="G10" s="109">
        <v>0</v>
      </c>
      <c r="H10" s="40" t="s">
        <v>135</v>
      </c>
      <c r="I10" s="210">
        <v>967770</v>
      </c>
      <c r="J10" s="140"/>
      <c r="K10" s="212"/>
      <c r="L10" s="211"/>
      <c r="M10" s="208"/>
      <c r="N10" s="208"/>
      <c r="O10" s="209"/>
      <c r="P10" s="209"/>
    </row>
    <row r="11" spans="1:16" s="217" customFormat="1" ht="14.25" x14ac:dyDescent="0.3">
      <c r="A11" s="178" t="s">
        <v>21</v>
      </c>
      <c r="B11" s="179" t="s">
        <v>19</v>
      </c>
      <c r="C11" s="181">
        <v>43326</v>
      </c>
      <c r="D11" s="181">
        <v>43357</v>
      </c>
      <c r="E11" s="180">
        <v>0</v>
      </c>
      <c r="F11" s="182">
        <v>0</v>
      </c>
      <c r="G11" s="213">
        <v>0</v>
      </c>
      <c r="H11" s="183" t="s">
        <v>135</v>
      </c>
      <c r="I11" s="214">
        <v>0</v>
      </c>
      <c r="J11" s="188"/>
      <c r="K11" s="215"/>
      <c r="L11" s="188"/>
      <c r="M11" s="216"/>
      <c r="N11" s="216"/>
      <c r="O11" s="216"/>
      <c r="P11" s="216"/>
    </row>
    <row r="12" spans="1:16" s="217" customFormat="1" ht="14.25" x14ac:dyDescent="0.3">
      <c r="A12" s="178" t="s">
        <v>22</v>
      </c>
      <c r="B12" s="179" t="s">
        <v>19</v>
      </c>
      <c r="C12" s="181">
        <v>43326</v>
      </c>
      <c r="D12" s="181">
        <v>43357</v>
      </c>
      <c r="E12" s="180">
        <v>0</v>
      </c>
      <c r="F12" s="182">
        <v>0</v>
      </c>
      <c r="G12" s="185">
        <v>0</v>
      </c>
      <c r="H12" s="181" t="s">
        <v>135</v>
      </c>
      <c r="I12" s="214">
        <v>0</v>
      </c>
      <c r="J12" s="188"/>
      <c r="K12" s="215"/>
      <c r="L12" s="142"/>
      <c r="M12" s="216"/>
      <c r="N12" s="216"/>
      <c r="O12" s="216"/>
      <c r="P12" s="216"/>
    </row>
    <row r="13" spans="1:16" s="28" customFormat="1" ht="14.25" x14ac:dyDescent="0.3">
      <c r="A13" s="37" t="s">
        <v>23</v>
      </c>
      <c r="B13" s="38" t="s">
        <v>24</v>
      </c>
      <c r="C13" s="40">
        <v>43335</v>
      </c>
      <c r="D13" s="40">
        <v>43364</v>
      </c>
      <c r="E13" s="39">
        <v>15280</v>
      </c>
      <c r="F13" s="41">
        <v>416.43</v>
      </c>
      <c r="G13" s="109">
        <v>0</v>
      </c>
      <c r="H13" s="43" t="s">
        <v>135</v>
      </c>
      <c r="I13" s="210">
        <v>6363050</v>
      </c>
      <c r="J13" s="218"/>
      <c r="K13" s="212"/>
      <c r="L13" s="211"/>
      <c r="M13" s="208"/>
      <c r="N13" s="208"/>
      <c r="O13" s="209"/>
      <c r="P13" s="209"/>
    </row>
    <row r="14" spans="1:16" s="28" customFormat="1" ht="14.25" x14ac:dyDescent="0.3">
      <c r="A14" s="37" t="s">
        <v>25</v>
      </c>
      <c r="B14" s="38" t="s">
        <v>24</v>
      </c>
      <c r="C14" s="40">
        <v>43335</v>
      </c>
      <c r="D14" s="40">
        <v>43364</v>
      </c>
      <c r="E14" s="39">
        <v>14520</v>
      </c>
      <c r="F14" s="41">
        <v>416.43</v>
      </c>
      <c r="G14" s="109">
        <v>0</v>
      </c>
      <c r="H14" s="43" t="s">
        <v>135</v>
      </c>
      <c r="I14" s="210">
        <v>6708030</v>
      </c>
      <c r="J14" s="139"/>
      <c r="K14" s="212"/>
      <c r="L14" s="140"/>
      <c r="M14" s="208"/>
      <c r="N14" s="208"/>
      <c r="O14" s="209"/>
      <c r="P14" s="209"/>
    </row>
    <row r="15" spans="1:16" s="28" customFormat="1" ht="14.25" x14ac:dyDescent="0.3">
      <c r="A15" s="37" t="s">
        <v>26</v>
      </c>
      <c r="B15" s="38" t="s">
        <v>24</v>
      </c>
      <c r="C15" s="40">
        <v>43335</v>
      </c>
      <c r="D15" s="40">
        <v>43363</v>
      </c>
      <c r="E15" s="39">
        <v>7616</v>
      </c>
      <c r="F15" s="41">
        <v>449.92</v>
      </c>
      <c r="G15" s="109">
        <v>0</v>
      </c>
      <c r="H15" s="43" t="s">
        <v>135</v>
      </c>
      <c r="I15" s="210">
        <v>3426590</v>
      </c>
      <c r="J15" s="140"/>
      <c r="K15" s="212"/>
      <c r="L15" s="219"/>
      <c r="M15" s="208"/>
      <c r="N15" s="208"/>
      <c r="O15" s="209"/>
      <c r="P15" s="209"/>
    </row>
    <row r="16" spans="1:16" s="217" customFormat="1" ht="14.25" x14ac:dyDescent="0.3">
      <c r="A16" s="178" t="s">
        <v>27</v>
      </c>
      <c r="B16" s="179" t="s">
        <v>24</v>
      </c>
      <c r="C16" s="181">
        <v>43335</v>
      </c>
      <c r="D16" s="181">
        <v>43363</v>
      </c>
      <c r="E16" s="180">
        <v>1602</v>
      </c>
      <c r="F16" s="182">
        <v>449.92</v>
      </c>
      <c r="G16" s="185">
        <v>0</v>
      </c>
      <c r="H16" s="183" t="s">
        <v>136</v>
      </c>
      <c r="I16" s="214">
        <v>720770</v>
      </c>
      <c r="J16" s="196"/>
      <c r="K16" s="215"/>
      <c r="L16" s="220"/>
      <c r="M16" s="216"/>
      <c r="N16" s="216"/>
      <c r="O16" s="216"/>
      <c r="P16" s="216"/>
    </row>
    <row r="17" spans="1:16" s="28" customFormat="1" ht="14.25" x14ac:dyDescent="0.3">
      <c r="A17" s="37" t="s">
        <v>28</v>
      </c>
      <c r="B17" s="38" t="s">
        <v>24</v>
      </c>
      <c r="C17" s="40">
        <v>43335</v>
      </c>
      <c r="D17" s="40">
        <v>43363</v>
      </c>
      <c r="E17" s="39">
        <v>4675</v>
      </c>
      <c r="F17" s="41">
        <v>416.43</v>
      </c>
      <c r="G17" s="109">
        <v>0</v>
      </c>
      <c r="H17" s="43" t="s">
        <v>135</v>
      </c>
      <c r="I17" s="221">
        <v>1946810</v>
      </c>
      <c r="J17" s="140"/>
      <c r="K17" s="212"/>
      <c r="L17" s="139"/>
      <c r="M17" s="208"/>
      <c r="N17" s="208"/>
      <c r="O17" s="209"/>
      <c r="P17" s="209"/>
    </row>
    <row r="18" spans="1:16" s="28" customFormat="1" ht="14.25" x14ac:dyDescent="0.3">
      <c r="A18" s="37" t="s">
        <v>29</v>
      </c>
      <c r="B18" s="38" t="s">
        <v>24</v>
      </c>
      <c r="C18" s="40">
        <v>43335</v>
      </c>
      <c r="D18" s="40">
        <v>43364</v>
      </c>
      <c r="E18" s="39">
        <v>13600</v>
      </c>
      <c r="F18" s="41">
        <v>416.43</v>
      </c>
      <c r="G18" s="109">
        <v>0</v>
      </c>
      <c r="H18" s="48" t="s">
        <v>135</v>
      </c>
      <c r="I18" s="210">
        <v>5663450</v>
      </c>
      <c r="J18" s="140"/>
      <c r="K18" s="212"/>
      <c r="L18" s="139"/>
      <c r="M18" s="208"/>
      <c r="N18" s="208"/>
      <c r="O18" s="209"/>
      <c r="P18" s="209"/>
    </row>
    <row r="19" spans="1:16" s="28" customFormat="1" ht="14.25" x14ac:dyDescent="0.3">
      <c r="A19" s="37" t="s">
        <v>137</v>
      </c>
      <c r="B19" s="49" t="s">
        <v>31</v>
      </c>
      <c r="C19" s="40">
        <v>43336</v>
      </c>
      <c r="D19" s="40">
        <v>43365</v>
      </c>
      <c r="E19" s="39">
        <v>41360</v>
      </c>
      <c r="F19" s="41">
        <v>380.39</v>
      </c>
      <c r="G19" s="109">
        <v>0</v>
      </c>
      <c r="H19" s="43" t="s">
        <v>135</v>
      </c>
      <c r="I19" s="210">
        <v>15754160</v>
      </c>
      <c r="J19" s="140"/>
      <c r="K19" s="212"/>
      <c r="L19" s="219"/>
      <c r="M19" s="208"/>
      <c r="N19" s="208"/>
      <c r="O19" s="209"/>
      <c r="P19" s="209"/>
    </row>
    <row r="20" spans="1:16" s="28" customFormat="1" ht="14.25" x14ac:dyDescent="0.3">
      <c r="A20" s="37" t="s">
        <v>138</v>
      </c>
      <c r="B20" s="38" t="s">
        <v>33</v>
      </c>
      <c r="C20" s="40">
        <v>43304</v>
      </c>
      <c r="D20" s="40">
        <v>43333</v>
      </c>
      <c r="E20" s="39">
        <v>52800</v>
      </c>
      <c r="F20" s="41">
        <v>383.13</v>
      </c>
      <c r="G20" s="109">
        <v>0</v>
      </c>
      <c r="H20" s="43" t="s">
        <v>135</v>
      </c>
      <c r="I20" s="210">
        <v>20257250</v>
      </c>
      <c r="J20" s="139"/>
      <c r="K20" s="212"/>
      <c r="L20" s="140"/>
      <c r="M20" s="208"/>
      <c r="N20" s="208"/>
      <c r="O20" s="209"/>
      <c r="P20" s="209"/>
    </row>
    <row r="21" spans="1:16" s="28" customFormat="1" ht="14.25" x14ac:dyDescent="0.3">
      <c r="A21" s="37" t="s">
        <v>139</v>
      </c>
      <c r="B21" s="38" t="s">
        <v>35</v>
      </c>
      <c r="C21" s="40">
        <v>43334</v>
      </c>
      <c r="D21" s="40">
        <v>43362</v>
      </c>
      <c r="E21" s="39">
        <v>46200</v>
      </c>
      <c r="F21" s="41">
        <v>380.72</v>
      </c>
      <c r="G21" s="109">
        <v>0</v>
      </c>
      <c r="H21" s="43" t="s">
        <v>135</v>
      </c>
      <c r="I21" s="210">
        <v>17613010</v>
      </c>
      <c r="J21" s="219"/>
      <c r="K21" s="212"/>
      <c r="L21" s="140"/>
      <c r="M21" s="208"/>
      <c r="N21" s="208"/>
      <c r="O21" s="209"/>
      <c r="P21" s="209"/>
    </row>
    <row r="22" spans="1:16" s="217" customFormat="1" ht="14.25" x14ac:dyDescent="0.3">
      <c r="A22" s="178" t="s">
        <v>140</v>
      </c>
      <c r="B22" s="179" t="s">
        <v>37</v>
      </c>
      <c r="C22" s="181">
        <v>43328</v>
      </c>
      <c r="D22" s="181">
        <v>43358</v>
      </c>
      <c r="E22" s="180">
        <v>51810</v>
      </c>
      <c r="F22" s="182">
        <v>380.39</v>
      </c>
      <c r="G22" s="185">
        <v>0</v>
      </c>
      <c r="H22" s="183" t="s">
        <v>135</v>
      </c>
      <c r="I22" s="214">
        <v>19736310</v>
      </c>
      <c r="J22" s="142"/>
      <c r="K22" s="215"/>
      <c r="L22" s="196"/>
      <c r="M22" s="216"/>
      <c r="N22" s="216"/>
      <c r="O22" s="216"/>
      <c r="P22" s="216"/>
    </row>
    <row r="23" spans="1:16" s="28" customFormat="1" ht="14.25" x14ac:dyDescent="0.3">
      <c r="A23" s="37" t="s">
        <v>141</v>
      </c>
      <c r="B23" s="38" t="s">
        <v>39</v>
      </c>
      <c r="C23" s="40">
        <v>43306</v>
      </c>
      <c r="D23" s="40">
        <v>43336</v>
      </c>
      <c r="E23" s="39">
        <v>73260</v>
      </c>
      <c r="F23" s="41">
        <v>381.95</v>
      </c>
      <c r="G23" s="109">
        <v>0</v>
      </c>
      <c r="H23" s="43" t="s">
        <v>135</v>
      </c>
      <c r="I23" s="210">
        <v>28054970</v>
      </c>
      <c r="J23" s="219"/>
      <c r="K23" s="212"/>
      <c r="L23" s="140"/>
      <c r="M23" s="208"/>
      <c r="N23" s="208"/>
      <c r="O23" s="209"/>
      <c r="P23" s="209"/>
    </row>
    <row r="24" spans="1:16" s="28" customFormat="1" ht="14.25" x14ac:dyDescent="0.3">
      <c r="A24" s="37" t="s">
        <v>142</v>
      </c>
      <c r="B24" s="38" t="s">
        <v>41</v>
      </c>
      <c r="C24" s="40">
        <v>43334</v>
      </c>
      <c r="D24" s="40">
        <v>43364</v>
      </c>
      <c r="E24" s="39">
        <v>195800</v>
      </c>
      <c r="F24" s="41">
        <v>380.72</v>
      </c>
      <c r="G24" s="109">
        <v>0</v>
      </c>
      <c r="H24" s="43" t="s">
        <v>135</v>
      </c>
      <c r="I24" s="210">
        <v>74646750</v>
      </c>
      <c r="J24" s="140"/>
      <c r="K24" s="212"/>
      <c r="L24" s="140"/>
      <c r="M24" s="208"/>
      <c r="N24" s="208"/>
      <c r="O24" s="209"/>
      <c r="P24" s="209"/>
    </row>
    <row r="25" spans="1:16" s="27" customFormat="1" ht="14.25" x14ac:dyDescent="0.3">
      <c r="A25" s="37" t="s">
        <v>143</v>
      </c>
      <c r="B25" s="38" t="s">
        <v>43</v>
      </c>
      <c r="C25" s="40">
        <v>43336</v>
      </c>
      <c r="D25" s="40">
        <v>43365</v>
      </c>
      <c r="E25" s="39">
        <v>32560</v>
      </c>
      <c r="F25" s="41">
        <v>380.72</v>
      </c>
      <c r="G25" s="109">
        <v>0</v>
      </c>
      <c r="H25" s="43" t="s">
        <v>135</v>
      </c>
      <c r="I25" s="210">
        <v>12409820</v>
      </c>
      <c r="J25" s="222"/>
      <c r="K25" s="212"/>
      <c r="L25" s="140"/>
      <c r="M25" s="208"/>
      <c r="N25" s="208"/>
      <c r="O25" s="208"/>
      <c r="P25" s="208"/>
    </row>
    <row r="26" spans="1:16" s="217" customFormat="1" ht="14.25" x14ac:dyDescent="0.3">
      <c r="A26" s="178" t="s">
        <v>144</v>
      </c>
      <c r="B26" s="179" t="s">
        <v>45</v>
      </c>
      <c r="C26" s="223">
        <v>43328</v>
      </c>
      <c r="D26" s="223">
        <v>43360</v>
      </c>
      <c r="E26" s="180">
        <v>36520</v>
      </c>
      <c r="F26" s="182">
        <v>380.72</v>
      </c>
      <c r="G26" s="185">
        <v>0</v>
      </c>
      <c r="H26" s="183" t="s">
        <v>135</v>
      </c>
      <c r="I26" s="224">
        <v>14685800</v>
      </c>
      <c r="J26" s="188"/>
      <c r="K26" s="215"/>
      <c r="L26" s="196"/>
      <c r="M26" s="225"/>
      <c r="N26" s="216"/>
      <c r="O26" s="216"/>
      <c r="P26" s="216"/>
    </row>
    <row r="27" spans="1:16" s="28" customFormat="1" ht="14.25" x14ac:dyDescent="0.3">
      <c r="A27" s="37" t="s">
        <v>145</v>
      </c>
      <c r="B27" s="38" t="s">
        <v>47</v>
      </c>
      <c r="C27" s="175">
        <v>43305</v>
      </c>
      <c r="D27" s="176">
        <v>43333</v>
      </c>
      <c r="E27" s="39">
        <v>0</v>
      </c>
      <c r="F27" s="41">
        <v>0</v>
      </c>
      <c r="G27" s="109">
        <v>0</v>
      </c>
      <c r="H27" s="43" t="s">
        <v>136</v>
      </c>
      <c r="I27" s="221">
        <v>0</v>
      </c>
      <c r="J27" s="141"/>
      <c r="K27" s="215"/>
      <c r="L27" s="141"/>
      <c r="M27" s="208"/>
      <c r="N27" s="208"/>
      <c r="O27" s="209"/>
      <c r="P27" s="209"/>
    </row>
    <row r="28" spans="1:16" s="28" customFormat="1" ht="14.25" x14ac:dyDescent="0.3">
      <c r="A28" s="37" t="s">
        <v>146</v>
      </c>
      <c r="B28" s="38" t="s">
        <v>49</v>
      </c>
      <c r="C28" s="40">
        <v>43329</v>
      </c>
      <c r="D28" s="40">
        <v>43360</v>
      </c>
      <c r="E28" s="39">
        <v>1292</v>
      </c>
      <c r="F28" s="41">
        <v>449.92</v>
      </c>
      <c r="G28" s="109">
        <v>0</v>
      </c>
      <c r="H28" s="43" t="s">
        <v>135</v>
      </c>
      <c r="I28" s="210">
        <v>581290</v>
      </c>
      <c r="J28" s="139"/>
      <c r="K28" s="212"/>
      <c r="L28" s="140"/>
      <c r="M28" s="208"/>
      <c r="N28" s="208"/>
      <c r="O28" s="209"/>
      <c r="P28" s="209"/>
    </row>
    <row r="29" spans="1:16" s="217" customFormat="1" ht="14.25" x14ac:dyDescent="0.3">
      <c r="A29" s="178" t="s">
        <v>147</v>
      </c>
      <c r="B29" s="179" t="s">
        <v>51</v>
      </c>
      <c r="C29" s="181">
        <v>43328</v>
      </c>
      <c r="D29" s="181">
        <v>43357</v>
      </c>
      <c r="E29" s="180">
        <v>160</v>
      </c>
      <c r="F29" s="182">
        <v>449.92</v>
      </c>
      <c r="G29" s="185">
        <v>0</v>
      </c>
      <c r="H29" s="183" t="s">
        <v>135</v>
      </c>
      <c r="I29" s="214">
        <v>71990</v>
      </c>
      <c r="J29" s="142"/>
      <c r="K29" s="215"/>
      <c r="L29" s="196"/>
      <c r="M29" s="216"/>
      <c r="N29" s="216"/>
      <c r="O29" s="216"/>
      <c r="P29" s="216"/>
    </row>
    <row r="30" spans="1:16" s="28" customFormat="1" ht="14.25" x14ac:dyDescent="0.3">
      <c r="A30" s="37" t="s">
        <v>148</v>
      </c>
      <c r="B30" s="38" t="s">
        <v>53</v>
      </c>
      <c r="C30" s="40">
        <v>43329</v>
      </c>
      <c r="D30" s="40">
        <v>43360</v>
      </c>
      <c r="E30" s="39">
        <v>5360</v>
      </c>
      <c r="F30" s="41">
        <v>449.92</v>
      </c>
      <c r="G30" s="109">
        <v>0</v>
      </c>
      <c r="H30" s="43" t="s">
        <v>135</v>
      </c>
      <c r="I30" s="210">
        <v>2411570</v>
      </c>
      <c r="J30" s="139"/>
      <c r="K30" s="212"/>
      <c r="L30" s="140"/>
      <c r="M30" s="208"/>
      <c r="N30" s="208"/>
      <c r="O30" s="209"/>
      <c r="P30" s="209"/>
    </row>
    <row r="31" spans="1:16" s="28" customFormat="1" ht="14.25" x14ac:dyDescent="0.3">
      <c r="A31" s="178" t="s">
        <v>151</v>
      </c>
      <c r="B31" s="179" t="s">
        <v>59</v>
      </c>
      <c r="C31" s="181">
        <v>43336</v>
      </c>
      <c r="D31" s="181">
        <v>43365</v>
      </c>
      <c r="E31" s="180">
        <v>6240</v>
      </c>
      <c r="F31" s="182">
        <v>449.92</v>
      </c>
      <c r="G31" s="109">
        <v>0</v>
      </c>
      <c r="H31" s="183" t="s">
        <v>135</v>
      </c>
      <c r="I31" s="214">
        <v>2807500</v>
      </c>
      <c r="J31" s="196"/>
      <c r="K31" s="215"/>
      <c r="L31" s="139"/>
      <c r="M31" s="208"/>
      <c r="N31" s="208"/>
      <c r="O31" s="209"/>
      <c r="P31" s="209"/>
    </row>
    <row r="32" spans="1:16" s="27" customFormat="1" ht="14.25" x14ac:dyDescent="0.3">
      <c r="A32" s="178" t="s">
        <v>152</v>
      </c>
      <c r="B32" s="179" t="s">
        <v>61</v>
      </c>
      <c r="C32" s="181">
        <v>43327</v>
      </c>
      <c r="D32" s="181">
        <v>43358</v>
      </c>
      <c r="E32" s="180">
        <v>23040</v>
      </c>
      <c r="F32" s="182">
        <v>449.92</v>
      </c>
      <c r="G32" s="185">
        <v>0</v>
      </c>
      <c r="H32" s="183" t="s">
        <v>135</v>
      </c>
      <c r="I32" s="214">
        <v>10366150</v>
      </c>
      <c r="J32" s="226"/>
      <c r="K32" s="215"/>
      <c r="L32" s="139"/>
      <c r="M32" s="208"/>
      <c r="N32" s="208"/>
      <c r="O32" s="208"/>
      <c r="P32" s="208"/>
    </row>
    <row r="33" spans="1:16" s="28" customFormat="1" ht="14.25" x14ac:dyDescent="0.3">
      <c r="A33" s="178" t="s">
        <v>153</v>
      </c>
      <c r="B33" s="187" t="s">
        <v>63</v>
      </c>
      <c r="C33" s="181">
        <v>43330</v>
      </c>
      <c r="D33" s="181">
        <v>43360</v>
      </c>
      <c r="E33" s="180">
        <v>7600</v>
      </c>
      <c r="F33" s="182">
        <v>416.43</v>
      </c>
      <c r="G33" s="185">
        <v>0</v>
      </c>
      <c r="H33" s="183" t="s">
        <v>135</v>
      </c>
      <c r="I33" s="214">
        <v>3164870</v>
      </c>
      <c r="J33" s="196"/>
      <c r="K33" s="215"/>
      <c r="L33" s="140"/>
      <c r="M33" s="208"/>
      <c r="N33" s="208"/>
      <c r="O33" s="209"/>
      <c r="P33" s="209"/>
    </row>
    <row r="34" spans="1:16" s="28" customFormat="1" ht="14.25" x14ac:dyDescent="0.3">
      <c r="A34" s="37" t="s">
        <v>154</v>
      </c>
      <c r="B34" s="38" t="s">
        <v>65</v>
      </c>
      <c r="C34" s="40">
        <v>43329</v>
      </c>
      <c r="D34" s="40">
        <v>43357</v>
      </c>
      <c r="E34" s="39">
        <v>2079</v>
      </c>
      <c r="F34" s="41">
        <v>449.92</v>
      </c>
      <c r="G34" s="109">
        <v>0</v>
      </c>
      <c r="H34" s="43" t="s">
        <v>135</v>
      </c>
      <c r="I34" s="210">
        <v>935380</v>
      </c>
      <c r="J34" s="196"/>
      <c r="K34" s="212"/>
      <c r="L34" s="139"/>
      <c r="M34" s="208"/>
      <c r="N34" s="208"/>
      <c r="O34" s="209"/>
      <c r="P34" s="209"/>
    </row>
    <row r="35" spans="1:16" s="28" customFormat="1" ht="14.25" x14ac:dyDescent="0.3">
      <c r="A35" s="178" t="s">
        <v>155</v>
      </c>
      <c r="B35" s="179" t="s">
        <v>67</v>
      </c>
      <c r="C35" s="181">
        <v>43317</v>
      </c>
      <c r="D35" s="181">
        <v>43348</v>
      </c>
      <c r="E35" s="180">
        <v>1564</v>
      </c>
      <c r="F35" s="182">
        <v>454.24</v>
      </c>
      <c r="G35" s="185">
        <v>0</v>
      </c>
      <c r="H35" s="183" t="s">
        <v>135</v>
      </c>
      <c r="I35" s="214">
        <v>710430</v>
      </c>
      <c r="J35" s="196"/>
      <c r="K35" s="215"/>
      <c r="L35" s="139"/>
      <c r="M35" s="208"/>
      <c r="N35" s="208"/>
      <c r="O35" s="209"/>
      <c r="P35" s="209"/>
    </row>
    <row r="36" spans="1:16" s="28" customFormat="1" ht="14.25" x14ac:dyDescent="0.3">
      <c r="A36" s="178" t="s">
        <v>156</v>
      </c>
      <c r="B36" s="179" t="s">
        <v>69</v>
      </c>
      <c r="C36" s="181">
        <v>43329</v>
      </c>
      <c r="D36" s="181">
        <v>43360</v>
      </c>
      <c r="E36" s="180">
        <v>6960</v>
      </c>
      <c r="F36" s="182">
        <v>449.92</v>
      </c>
      <c r="G36" s="185">
        <v>0</v>
      </c>
      <c r="H36" s="183" t="s">
        <v>135</v>
      </c>
      <c r="I36" s="214">
        <v>2581710</v>
      </c>
      <c r="J36" s="142"/>
      <c r="K36" s="215"/>
      <c r="L36" s="219"/>
      <c r="M36" s="208"/>
      <c r="N36" s="208"/>
      <c r="O36" s="209"/>
      <c r="P36" s="209"/>
    </row>
    <row r="37" spans="1:16" s="217" customFormat="1" ht="14.25" x14ac:dyDescent="0.3">
      <c r="A37" s="178" t="s">
        <v>157</v>
      </c>
      <c r="B37" s="179" t="s">
        <v>71</v>
      </c>
      <c r="C37" s="181">
        <v>43327</v>
      </c>
      <c r="D37" s="181">
        <v>43357</v>
      </c>
      <c r="E37" s="180">
        <v>3840</v>
      </c>
      <c r="F37" s="182">
        <v>416.43</v>
      </c>
      <c r="G37" s="185">
        <v>0</v>
      </c>
      <c r="H37" s="183" t="s">
        <v>135</v>
      </c>
      <c r="I37" s="214">
        <v>1599090</v>
      </c>
      <c r="J37" s="196"/>
      <c r="K37" s="215"/>
      <c r="L37" s="188"/>
      <c r="M37" s="216"/>
      <c r="N37" s="216"/>
      <c r="O37" s="216"/>
      <c r="P37" s="216"/>
    </row>
    <row r="38" spans="1:16" s="28" customFormat="1" ht="14.25" x14ac:dyDescent="0.3">
      <c r="A38" s="178" t="s">
        <v>158</v>
      </c>
      <c r="B38" s="179" t="s">
        <v>73</v>
      </c>
      <c r="C38" s="181">
        <v>43334</v>
      </c>
      <c r="D38" s="181">
        <v>43363</v>
      </c>
      <c r="E38" s="180">
        <v>1957</v>
      </c>
      <c r="F38" s="182">
        <v>449.92</v>
      </c>
      <c r="G38" s="185">
        <v>0</v>
      </c>
      <c r="H38" s="183" t="s">
        <v>135</v>
      </c>
      <c r="I38" s="214">
        <v>880490</v>
      </c>
      <c r="J38" s="196"/>
      <c r="K38" s="215"/>
      <c r="L38" s="219"/>
      <c r="M38" s="208"/>
      <c r="N38" s="208"/>
      <c r="O38" s="209"/>
      <c r="P38" s="209"/>
    </row>
    <row r="39" spans="1:16" s="28" customFormat="1" ht="14.25" x14ac:dyDescent="0.3">
      <c r="A39" s="37" t="s">
        <v>180</v>
      </c>
      <c r="B39" s="38" t="s">
        <v>116</v>
      </c>
      <c r="C39" s="40">
        <v>43328</v>
      </c>
      <c r="D39" s="40">
        <v>43358</v>
      </c>
      <c r="E39" s="39">
        <v>11360</v>
      </c>
      <c r="F39" s="41">
        <v>449.92</v>
      </c>
      <c r="G39" s="109">
        <v>0</v>
      </c>
      <c r="H39" s="43" t="s">
        <v>135</v>
      </c>
      <c r="I39" s="210">
        <v>5111090</v>
      </c>
      <c r="J39" s="140"/>
      <c r="K39" s="212"/>
      <c r="L39" s="140"/>
      <c r="M39" s="208"/>
      <c r="N39" s="208"/>
      <c r="O39" s="209"/>
      <c r="P39" s="209"/>
    </row>
    <row r="40" spans="1:16" s="28" customFormat="1" ht="14.25" x14ac:dyDescent="0.3">
      <c r="A40" s="37" t="s">
        <v>160</v>
      </c>
      <c r="B40" s="38" t="s">
        <v>77</v>
      </c>
      <c r="C40" s="40">
        <v>43336</v>
      </c>
      <c r="D40" s="40">
        <v>43365</v>
      </c>
      <c r="E40" s="39">
        <v>8700</v>
      </c>
      <c r="F40" s="41">
        <v>449.92</v>
      </c>
      <c r="G40" s="109">
        <v>0</v>
      </c>
      <c r="H40" s="43" t="s">
        <v>135</v>
      </c>
      <c r="I40" s="221">
        <v>3914300</v>
      </c>
      <c r="J40" s="218"/>
      <c r="K40" s="212"/>
      <c r="L40" s="139"/>
      <c r="M40" s="208"/>
      <c r="N40" s="208"/>
      <c r="O40" s="209"/>
      <c r="P40" s="209"/>
    </row>
    <row r="41" spans="1:16" s="28" customFormat="1" ht="14.25" x14ac:dyDescent="0.3">
      <c r="A41" s="37" t="s">
        <v>161</v>
      </c>
      <c r="B41" s="38" t="s">
        <v>79</v>
      </c>
      <c r="C41" s="40">
        <v>43328</v>
      </c>
      <c r="D41" s="40">
        <v>43358</v>
      </c>
      <c r="E41" s="39">
        <v>7200</v>
      </c>
      <c r="F41" s="41">
        <v>416.43</v>
      </c>
      <c r="G41" s="109">
        <v>0</v>
      </c>
      <c r="H41" s="43" t="s">
        <v>135</v>
      </c>
      <c r="I41" s="210">
        <v>2998290</v>
      </c>
      <c r="J41" s="139"/>
      <c r="K41" s="212"/>
      <c r="L41" s="140"/>
      <c r="M41" s="208"/>
      <c r="N41" s="208"/>
      <c r="O41" s="209"/>
      <c r="P41" s="209"/>
    </row>
    <row r="42" spans="1:16" s="217" customFormat="1" ht="14.25" x14ac:dyDescent="0.3">
      <c r="A42" s="227" t="s">
        <v>162</v>
      </c>
      <c r="B42" s="187" t="s">
        <v>81</v>
      </c>
      <c r="C42" s="181">
        <v>43321</v>
      </c>
      <c r="D42" s="181">
        <v>43352</v>
      </c>
      <c r="E42" s="180">
        <v>3325</v>
      </c>
      <c r="F42" s="182">
        <v>449.92</v>
      </c>
      <c r="G42" s="185">
        <v>0</v>
      </c>
      <c r="H42" s="183" t="s">
        <v>135</v>
      </c>
      <c r="I42" s="214">
        <v>1495980</v>
      </c>
      <c r="J42" s="188"/>
      <c r="K42" s="215"/>
      <c r="L42" s="196"/>
      <c r="M42" s="216"/>
      <c r="N42" s="216"/>
      <c r="O42" s="216"/>
      <c r="P42" s="216"/>
    </row>
    <row r="43" spans="1:16" s="28" customFormat="1" ht="14.25" x14ac:dyDescent="0.3">
      <c r="A43" s="59" t="s">
        <v>163</v>
      </c>
      <c r="B43" s="49" t="s">
        <v>83</v>
      </c>
      <c r="C43" s="40">
        <v>43328</v>
      </c>
      <c r="D43" s="40">
        <v>43358</v>
      </c>
      <c r="E43" s="39">
        <v>9240</v>
      </c>
      <c r="F43" s="41">
        <v>416.43</v>
      </c>
      <c r="G43" s="109">
        <v>0</v>
      </c>
      <c r="H43" s="43" t="s">
        <v>135</v>
      </c>
      <c r="I43" s="210">
        <v>3847810</v>
      </c>
      <c r="J43" s="219"/>
      <c r="K43" s="212"/>
      <c r="L43" s="194"/>
      <c r="M43" s="208"/>
      <c r="N43" s="208"/>
      <c r="O43" s="209"/>
      <c r="P43" s="209"/>
    </row>
    <row r="44" spans="1:16" s="28" customFormat="1" ht="14.25" x14ac:dyDescent="0.3">
      <c r="A44" s="37" t="s">
        <v>196</v>
      </c>
      <c r="B44" s="49" t="s">
        <v>85</v>
      </c>
      <c r="C44" s="40">
        <v>43336</v>
      </c>
      <c r="D44" s="40">
        <v>43365</v>
      </c>
      <c r="E44" s="39">
        <v>6480</v>
      </c>
      <c r="F44" s="41">
        <v>416.43</v>
      </c>
      <c r="G44" s="109">
        <v>0</v>
      </c>
      <c r="H44" s="43" t="s">
        <v>135</v>
      </c>
      <c r="I44" s="210">
        <v>3084760</v>
      </c>
      <c r="J44" s="139"/>
      <c r="K44" s="212"/>
      <c r="L44" s="141"/>
      <c r="M44" s="208"/>
      <c r="N44" s="208"/>
      <c r="O44" s="209"/>
      <c r="P44" s="209"/>
    </row>
    <row r="45" spans="1:16" s="217" customFormat="1" ht="14.25" x14ac:dyDescent="0.3">
      <c r="A45" s="178" t="s">
        <v>166</v>
      </c>
      <c r="B45" s="179" t="s">
        <v>89</v>
      </c>
      <c r="C45" s="181">
        <v>43302</v>
      </c>
      <c r="D45" s="181">
        <v>43334</v>
      </c>
      <c r="E45" s="180">
        <v>15680</v>
      </c>
      <c r="F45" s="182">
        <v>454.24</v>
      </c>
      <c r="G45" s="185">
        <v>0</v>
      </c>
      <c r="H45" s="183" t="s">
        <v>135</v>
      </c>
      <c r="I45" s="214">
        <v>7122480</v>
      </c>
      <c r="J45" s="228"/>
      <c r="K45" s="215"/>
      <c r="L45" s="188"/>
      <c r="M45" s="216"/>
      <c r="N45" s="216"/>
      <c r="O45" s="216"/>
      <c r="P45" s="216"/>
    </row>
    <row r="46" spans="1:16" s="28" customFormat="1" ht="14.25" x14ac:dyDescent="0.3">
      <c r="A46" s="37" t="s">
        <v>167</v>
      </c>
      <c r="B46" s="38" t="s">
        <v>91</v>
      </c>
      <c r="C46" s="40"/>
      <c r="D46" s="40"/>
      <c r="E46" s="39"/>
      <c r="F46" s="41"/>
      <c r="G46" s="109"/>
      <c r="H46" s="43"/>
      <c r="I46" s="210"/>
      <c r="J46" s="139"/>
      <c r="K46" s="212"/>
      <c r="L46" s="139"/>
      <c r="M46" s="208"/>
      <c r="N46" s="208"/>
      <c r="O46" s="209"/>
      <c r="P46" s="209"/>
    </row>
    <row r="47" spans="1:16" s="28" customFormat="1" ht="14.25" x14ac:dyDescent="0.3">
      <c r="A47" s="37" t="s">
        <v>168</v>
      </c>
      <c r="B47" s="38" t="s">
        <v>93</v>
      </c>
      <c r="C47" s="40">
        <v>43334</v>
      </c>
      <c r="D47" s="40">
        <v>43364</v>
      </c>
      <c r="E47" s="39">
        <v>6160</v>
      </c>
      <c r="F47" s="41">
        <v>416.43</v>
      </c>
      <c r="G47" s="109">
        <v>0</v>
      </c>
      <c r="H47" s="43" t="s">
        <v>135</v>
      </c>
      <c r="I47" s="210">
        <v>2565210</v>
      </c>
      <c r="J47" s="140"/>
      <c r="K47" s="212"/>
      <c r="L47" s="139"/>
      <c r="M47" s="208"/>
      <c r="N47" s="208"/>
      <c r="O47" s="209"/>
      <c r="P47" s="209"/>
    </row>
    <row r="48" spans="1:16" s="28" customFormat="1" ht="14.25" x14ac:dyDescent="0.3">
      <c r="A48" s="37" t="s">
        <v>169</v>
      </c>
      <c r="B48" s="38" t="s">
        <v>95</v>
      </c>
      <c r="C48" s="40">
        <v>43336</v>
      </c>
      <c r="D48" s="40">
        <v>43365</v>
      </c>
      <c r="E48" s="39">
        <v>8160</v>
      </c>
      <c r="F48" s="41">
        <v>420.72</v>
      </c>
      <c r="G48" s="109">
        <v>0</v>
      </c>
      <c r="H48" s="43" t="s">
        <v>135</v>
      </c>
      <c r="I48" s="210">
        <v>3398070</v>
      </c>
      <c r="J48" s="147"/>
      <c r="K48" s="212"/>
      <c r="L48" s="147"/>
      <c r="M48" s="208"/>
      <c r="N48" s="208"/>
      <c r="O48" s="209"/>
      <c r="P48" s="209"/>
    </row>
    <row r="49" spans="1:16" s="28" customFormat="1" ht="14.25" x14ac:dyDescent="0.3">
      <c r="A49" s="37" t="s">
        <v>170</v>
      </c>
      <c r="B49" s="38" t="s">
        <v>97</v>
      </c>
      <c r="C49" s="40" t="s">
        <v>171</v>
      </c>
      <c r="D49" s="40" t="s">
        <v>171</v>
      </c>
      <c r="E49" s="39">
        <v>0</v>
      </c>
      <c r="F49" s="41">
        <v>0</v>
      </c>
      <c r="G49" s="109">
        <v>0</v>
      </c>
      <c r="H49" s="40" t="s">
        <v>171</v>
      </c>
      <c r="I49" s="210">
        <v>0</v>
      </c>
      <c r="J49" s="33"/>
      <c r="K49" s="212"/>
      <c r="L49" s="147"/>
      <c r="M49" s="208"/>
      <c r="N49" s="208"/>
      <c r="O49" s="209"/>
      <c r="P49" s="209"/>
    </row>
    <row r="50" spans="1:16" s="28" customFormat="1" ht="14.25" x14ac:dyDescent="0.3">
      <c r="A50" s="37" t="s">
        <v>172</v>
      </c>
      <c r="B50" s="49" t="s">
        <v>100</v>
      </c>
      <c r="C50" s="40">
        <v>43334</v>
      </c>
      <c r="D50" s="40">
        <v>43362</v>
      </c>
      <c r="E50" s="39">
        <v>7920</v>
      </c>
      <c r="F50" s="41">
        <v>416.43</v>
      </c>
      <c r="G50" s="109">
        <v>0</v>
      </c>
      <c r="H50" s="61" t="s">
        <v>135</v>
      </c>
      <c r="I50" s="210">
        <v>3298130</v>
      </c>
      <c r="J50" s="140"/>
      <c r="K50" s="212"/>
      <c r="L50" s="139"/>
      <c r="M50" s="208"/>
      <c r="N50" s="208"/>
      <c r="O50" s="209"/>
      <c r="P50" s="209"/>
    </row>
    <row r="51" spans="1:16" s="28" customFormat="1" ht="14.25" x14ac:dyDescent="0.3">
      <c r="A51" s="178" t="s">
        <v>173</v>
      </c>
      <c r="B51" s="179" t="s">
        <v>102</v>
      </c>
      <c r="C51" s="181">
        <v>43323</v>
      </c>
      <c r="D51" s="181">
        <v>43354</v>
      </c>
      <c r="E51" s="180">
        <v>2518</v>
      </c>
      <c r="F51" s="182">
        <v>449.92</v>
      </c>
      <c r="G51" s="185">
        <v>0</v>
      </c>
      <c r="H51" s="183" t="s">
        <v>135</v>
      </c>
      <c r="I51" s="214">
        <v>1132900</v>
      </c>
      <c r="J51" s="142"/>
      <c r="K51" s="215"/>
      <c r="L51" s="140"/>
      <c r="M51" s="208"/>
      <c r="N51" s="208"/>
      <c r="O51" s="209"/>
      <c r="P51" s="209"/>
    </row>
    <row r="52" spans="1:16" s="217" customFormat="1" ht="14.25" x14ac:dyDescent="0.3">
      <c r="A52" s="178" t="s">
        <v>174</v>
      </c>
      <c r="B52" s="179" t="s">
        <v>104</v>
      </c>
      <c r="C52" s="181">
        <v>43334</v>
      </c>
      <c r="D52" s="181">
        <v>43334</v>
      </c>
      <c r="E52" s="180">
        <v>7920</v>
      </c>
      <c r="F52" s="182">
        <v>454.24</v>
      </c>
      <c r="G52" s="185">
        <v>0</v>
      </c>
      <c r="H52" s="183" t="s">
        <v>135</v>
      </c>
      <c r="I52" s="214">
        <v>3563370</v>
      </c>
      <c r="J52" s="188"/>
      <c r="K52" s="215"/>
      <c r="L52" s="196"/>
      <c r="M52" s="216"/>
      <c r="N52" s="216"/>
      <c r="O52" s="216"/>
      <c r="P52" s="216"/>
    </row>
    <row r="53" spans="1:16" s="28" customFormat="1" ht="14.25" x14ac:dyDescent="0.3">
      <c r="A53" s="178" t="s">
        <v>175</v>
      </c>
      <c r="B53" s="179" t="s">
        <v>106</v>
      </c>
      <c r="C53" s="181">
        <v>43329</v>
      </c>
      <c r="D53" s="181">
        <v>43360</v>
      </c>
      <c r="E53" s="180">
        <v>2450</v>
      </c>
      <c r="F53" s="182">
        <v>449.92</v>
      </c>
      <c r="G53" s="185">
        <v>0</v>
      </c>
      <c r="H53" s="183" t="s">
        <v>135</v>
      </c>
      <c r="I53" s="214">
        <v>1098540</v>
      </c>
      <c r="J53" s="196"/>
      <c r="K53" s="215"/>
      <c r="L53" s="139"/>
      <c r="M53" s="208"/>
      <c r="N53" s="208"/>
      <c r="O53" s="209"/>
      <c r="P53" s="209"/>
    </row>
    <row r="54" spans="1:16" s="28" customFormat="1" ht="14.25" x14ac:dyDescent="0.3">
      <c r="A54" s="178" t="s">
        <v>176</v>
      </c>
      <c r="B54" s="179" t="s">
        <v>108</v>
      </c>
      <c r="C54" s="181">
        <v>43333</v>
      </c>
      <c r="D54" s="181">
        <v>43362</v>
      </c>
      <c r="E54" s="180">
        <v>4712</v>
      </c>
      <c r="F54" s="182">
        <v>416.43</v>
      </c>
      <c r="G54" s="185">
        <v>0</v>
      </c>
      <c r="H54" s="183" t="s">
        <v>135</v>
      </c>
      <c r="I54" s="214">
        <v>1968730</v>
      </c>
      <c r="J54" s="196"/>
      <c r="K54" s="215"/>
      <c r="L54" s="139"/>
      <c r="M54" s="208"/>
      <c r="N54" s="208"/>
      <c r="O54" s="209"/>
      <c r="P54" s="209"/>
    </row>
    <row r="55" spans="1:16" s="28" customFormat="1" ht="14.25" x14ac:dyDescent="0.3">
      <c r="A55" s="37" t="s">
        <v>177</v>
      </c>
      <c r="B55" s="38" t="s">
        <v>110</v>
      </c>
      <c r="C55" s="40">
        <v>43334</v>
      </c>
      <c r="D55" s="40">
        <v>43362</v>
      </c>
      <c r="E55" s="39">
        <v>7760</v>
      </c>
      <c r="F55" s="41">
        <v>416.43</v>
      </c>
      <c r="G55" s="109">
        <v>0</v>
      </c>
      <c r="H55" s="43" t="s">
        <v>135</v>
      </c>
      <c r="I55" s="210">
        <v>3231500</v>
      </c>
      <c r="J55" s="139"/>
      <c r="K55" s="212"/>
      <c r="L55" s="140"/>
      <c r="M55" s="208"/>
      <c r="N55" s="208"/>
      <c r="O55" s="209"/>
      <c r="P55" s="209"/>
    </row>
    <row r="56" spans="1:16" s="27" customFormat="1" ht="14.25" x14ac:dyDescent="0.3">
      <c r="A56" s="37" t="s">
        <v>178</v>
      </c>
      <c r="B56" s="38" t="s">
        <v>112</v>
      </c>
      <c r="C56" s="40">
        <v>43335</v>
      </c>
      <c r="D56" s="40">
        <v>43365</v>
      </c>
      <c r="E56" s="39">
        <v>1514</v>
      </c>
      <c r="F56" s="41">
        <v>449.92</v>
      </c>
      <c r="G56" s="109">
        <v>0</v>
      </c>
      <c r="H56" s="43" t="s">
        <v>135</v>
      </c>
      <c r="I56" s="210">
        <v>681180</v>
      </c>
      <c r="J56" s="141"/>
      <c r="K56" s="212"/>
      <c r="L56" s="141"/>
      <c r="M56" s="208"/>
      <c r="N56" s="208"/>
      <c r="O56" s="208"/>
      <c r="P56" s="208"/>
    </row>
    <row r="57" spans="1:16" s="27" customFormat="1" ht="14.25" x14ac:dyDescent="0.3">
      <c r="A57" s="178" t="s">
        <v>179</v>
      </c>
      <c r="B57" s="179" t="s">
        <v>114</v>
      </c>
      <c r="C57" s="181">
        <v>43336</v>
      </c>
      <c r="D57" s="181">
        <v>43365</v>
      </c>
      <c r="E57" s="180">
        <v>7360</v>
      </c>
      <c r="F57" s="182">
        <v>416.43</v>
      </c>
      <c r="G57" s="185">
        <v>0</v>
      </c>
      <c r="H57" s="183" t="s">
        <v>135</v>
      </c>
      <c r="I57" s="214">
        <v>3064930</v>
      </c>
      <c r="J57" s="142"/>
      <c r="K57" s="215"/>
      <c r="L57" s="141"/>
      <c r="M57" s="208"/>
      <c r="N57" s="208"/>
      <c r="O57" s="208"/>
      <c r="P57" s="208"/>
    </row>
    <row r="58" spans="1:16" s="27" customFormat="1" ht="14.25" x14ac:dyDescent="0.3">
      <c r="A58" s="178" t="s">
        <v>217</v>
      </c>
      <c r="B58" s="179" t="s">
        <v>218</v>
      </c>
      <c r="C58" s="181" t="s">
        <v>251</v>
      </c>
      <c r="D58" s="181"/>
      <c r="E58" s="180"/>
      <c r="F58" s="182"/>
      <c r="G58" s="185"/>
      <c r="H58" s="181"/>
      <c r="I58" s="214"/>
      <c r="J58" s="142"/>
      <c r="K58" s="215"/>
      <c r="L58" s="148"/>
      <c r="M58" s="208"/>
      <c r="N58" s="208"/>
      <c r="O58" s="208"/>
      <c r="P58" s="208"/>
    </row>
    <row r="59" spans="1:16" s="27" customFormat="1" ht="14.25" x14ac:dyDescent="0.3">
      <c r="A59" s="178" t="s">
        <v>227</v>
      </c>
      <c r="B59" s="179" t="s">
        <v>228</v>
      </c>
      <c r="C59" s="181">
        <v>43334</v>
      </c>
      <c r="D59" s="181">
        <v>43364</v>
      </c>
      <c r="E59" s="180">
        <v>14520</v>
      </c>
      <c r="F59" s="182">
        <v>380.72</v>
      </c>
      <c r="G59" s="185">
        <v>0</v>
      </c>
      <c r="H59" s="183" t="s">
        <v>135</v>
      </c>
      <c r="I59" s="224">
        <v>5533700</v>
      </c>
      <c r="J59" s="196"/>
      <c r="K59" s="215"/>
      <c r="L59" s="219"/>
      <c r="M59" s="208"/>
      <c r="N59" s="208"/>
      <c r="O59" s="208"/>
      <c r="P59" s="208"/>
    </row>
    <row r="60" spans="1:16" s="27" customFormat="1" ht="14.25" x14ac:dyDescent="0.3">
      <c r="A60" s="356" t="s">
        <v>198</v>
      </c>
      <c r="B60" s="356" t="s">
        <v>4</v>
      </c>
      <c r="C60" s="356" t="s">
        <v>6</v>
      </c>
      <c r="D60" s="356"/>
      <c r="E60" s="150" t="s">
        <v>7</v>
      </c>
      <c r="F60" s="150" t="s">
        <v>132</v>
      </c>
      <c r="G60" s="356" t="s">
        <v>133</v>
      </c>
      <c r="H60" s="356" t="s">
        <v>134</v>
      </c>
      <c r="I60" s="371" t="s">
        <v>11</v>
      </c>
      <c r="J60" s="354"/>
      <c r="K60" s="363"/>
      <c r="L60" s="208"/>
      <c r="M60" s="208"/>
      <c r="N60" s="208"/>
      <c r="O60" s="208"/>
      <c r="P60" s="208"/>
    </row>
    <row r="61" spans="1:16" s="27" customFormat="1" ht="14.25" x14ac:dyDescent="0.3">
      <c r="A61" s="356"/>
      <c r="B61" s="356"/>
      <c r="C61" s="150" t="s">
        <v>15</v>
      </c>
      <c r="D61" s="150" t="s">
        <v>16</v>
      </c>
      <c r="E61" s="150" t="s">
        <v>17</v>
      </c>
      <c r="F61" s="150" t="s">
        <v>17</v>
      </c>
      <c r="G61" s="356"/>
      <c r="H61" s="356"/>
      <c r="I61" s="371"/>
      <c r="J61" s="354"/>
      <c r="K61" s="363"/>
      <c r="L61" s="208"/>
      <c r="M61" s="208"/>
      <c r="N61" s="208"/>
      <c r="O61" s="208"/>
      <c r="P61" s="208"/>
    </row>
    <row r="62" spans="1:16" s="217" customFormat="1" ht="14.25" x14ac:dyDescent="0.3">
      <c r="A62" s="178" t="s">
        <v>149</v>
      </c>
      <c r="B62" s="179" t="s">
        <v>55</v>
      </c>
      <c r="C62" s="181">
        <v>43333</v>
      </c>
      <c r="D62" s="181">
        <v>43363</v>
      </c>
      <c r="E62" s="180">
        <v>166</v>
      </c>
      <c r="F62" s="182">
        <v>449.92</v>
      </c>
      <c r="G62" s="185">
        <v>484.23</v>
      </c>
      <c r="H62" s="183" t="s">
        <v>135</v>
      </c>
      <c r="I62" s="229">
        <v>74690</v>
      </c>
      <c r="J62" s="196"/>
      <c r="K62" s="215"/>
      <c r="L62" s="196"/>
      <c r="M62" s="216"/>
      <c r="N62" s="216"/>
      <c r="O62" s="216"/>
      <c r="P62" s="216"/>
    </row>
    <row r="63" spans="1:16" s="27" customFormat="1" ht="14.25" x14ac:dyDescent="0.3">
      <c r="A63" s="37" t="s">
        <v>150</v>
      </c>
      <c r="B63" s="38" t="s">
        <v>57</v>
      </c>
      <c r="C63" s="40">
        <v>43333</v>
      </c>
      <c r="D63" s="40">
        <v>43363</v>
      </c>
      <c r="E63" s="39">
        <v>0</v>
      </c>
      <c r="F63" s="41">
        <v>0</v>
      </c>
      <c r="G63" s="109">
        <v>0</v>
      </c>
      <c r="H63" s="43" t="s">
        <v>135</v>
      </c>
      <c r="I63" s="230">
        <v>0</v>
      </c>
      <c r="J63" s="141"/>
      <c r="K63" s="231"/>
      <c r="L63" s="141"/>
      <c r="M63" s="208"/>
      <c r="N63" s="208"/>
      <c r="O63" s="208"/>
      <c r="P63" s="208"/>
    </row>
    <row r="64" spans="1:16" s="27" customFormat="1" ht="14.25" x14ac:dyDescent="0.3">
      <c r="A64" s="37" t="s">
        <v>165</v>
      </c>
      <c r="B64" s="49" t="s">
        <v>87</v>
      </c>
      <c r="C64" s="40">
        <v>43333</v>
      </c>
      <c r="D64" s="40">
        <v>43362</v>
      </c>
      <c r="E64" s="39">
        <v>0</v>
      </c>
      <c r="F64" s="41">
        <v>0</v>
      </c>
      <c r="G64" s="109">
        <v>0</v>
      </c>
      <c r="H64" s="43" t="s">
        <v>136</v>
      </c>
      <c r="I64" s="230">
        <v>0</v>
      </c>
      <c r="J64" s="141"/>
      <c r="K64" s="231"/>
      <c r="L64" s="141"/>
      <c r="M64" s="208"/>
      <c r="N64" s="208"/>
      <c r="O64" s="208"/>
      <c r="P64" s="208"/>
    </row>
    <row r="65" spans="1:17" s="27" customFormat="1" ht="15" customHeight="1" x14ac:dyDescent="0.3">
      <c r="A65" s="37"/>
      <c r="B65" s="38"/>
      <c r="C65" s="40"/>
      <c r="D65" s="40"/>
      <c r="E65" s="232">
        <f>SUM(E9:E64)</f>
        <v>868431</v>
      </c>
      <c r="F65" s="232">
        <f>SUM(E9:E59)</f>
        <v>868265</v>
      </c>
      <c r="G65" s="233"/>
      <c r="H65" s="234"/>
      <c r="I65" s="235"/>
      <c r="J65" s="33"/>
      <c r="K65" s="33"/>
      <c r="L65" s="236"/>
      <c r="M65" s="237"/>
      <c r="N65" s="237"/>
      <c r="O65" s="237"/>
      <c r="P65" s="208"/>
    </row>
    <row r="66" spans="1:17" s="27" customFormat="1" ht="15" customHeight="1" x14ac:dyDescent="0.3">
      <c r="A66" s="365"/>
      <c r="B66" s="365"/>
      <c r="C66" s="365"/>
      <c r="D66" s="365"/>
      <c r="E66" s="238"/>
      <c r="F66" s="208"/>
      <c r="G66" s="366" t="s">
        <v>200</v>
      </c>
      <c r="H66" s="366"/>
      <c r="I66" s="239">
        <f>SUM(I9:I59)</f>
        <v>344747880</v>
      </c>
      <c r="J66" s="33"/>
      <c r="K66" s="33"/>
      <c r="L66" s="208"/>
      <c r="M66" s="208"/>
      <c r="N66" s="208"/>
      <c r="O66" s="208"/>
      <c r="P66" s="208"/>
      <c r="Q66" s="208"/>
    </row>
    <row r="67" spans="1:17" s="27" customFormat="1" ht="15" customHeight="1" x14ac:dyDescent="0.3">
      <c r="A67" s="365"/>
      <c r="B67" s="365"/>
      <c r="C67" s="365"/>
      <c r="D67" s="365"/>
      <c r="E67" s="238"/>
      <c r="F67" s="208"/>
      <c r="G67" s="366" t="s">
        <v>201</v>
      </c>
      <c r="H67" s="366"/>
      <c r="I67" s="239">
        <f>SUM(I62:I64)</f>
        <v>74690</v>
      </c>
      <c r="J67" s="33"/>
      <c r="K67" s="33"/>
      <c r="L67" s="208"/>
      <c r="M67" s="208"/>
      <c r="N67" s="208"/>
      <c r="O67" s="208"/>
      <c r="P67" s="208"/>
      <c r="Q67" s="208"/>
    </row>
    <row r="68" spans="1:17" s="27" customFormat="1" ht="15" customHeight="1" x14ac:dyDescent="0.3">
      <c r="A68" s="365"/>
      <c r="B68" s="365"/>
      <c r="C68" s="365"/>
      <c r="D68" s="365"/>
      <c r="E68" s="238"/>
      <c r="F68" s="240"/>
      <c r="G68" s="240"/>
      <c r="H68" s="240"/>
      <c r="I68" s="241"/>
      <c r="J68" s="33"/>
      <c r="K68" s="33"/>
      <c r="L68" s="208"/>
      <c r="M68" s="208"/>
      <c r="N68" s="208"/>
      <c r="O68" s="208"/>
      <c r="P68" s="208"/>
      <c r="Q68" s="208"/>
    </row>
    <row r="69" spans="1:17" s="27" customFormat="1" ht="15" customHeight="1" x14ac:dyDescent="0.3">
      <c r="A69" s="365"/>
      <c r="B69" s="365"/>
      <c r="C69" s="365"/>
      <c r="D69" s="365"/>
      <c r="E69" s="238"/>
      <c r="F69" s="208"/>
      <c r="G69" s="367" t="s">
        <v>203</v>
      </c>
      <c r="H69" s="367"/>
      <c r="I69" s="242">
        <f>SUM(I66:I67)</f>
        <v>344822570</v>
      </c>
      <c r="J69" s="33"/>
      <c r="K69" s="33"/>
      <c r="L69" s="208"/>
      <c r="M69" s="208"/>
      <c r="N69" s="208"/>
      <c r="O69" s="208"/>
      <c r="P69" s="208"/>
      <c r="Q69" s="208"/>
    </row>
    <row r="70" spans="1:17" s="27" customFormat="1" ht="15" customHeight="1" x14ac:dyDescent="0.3">
      <c r="A70" s="208"/>
      <c r="B70" s="243"/>
      <c r="C70" s="243"/>
      <c r="D70" s="33"/>
      <c r="E70" s="244"/>
      <c r="F70" s="208"/>
      <c r="G70" s="208"/>
      <c r="H70" s="208"/>
      <c r="I70" s="208"/>
      <c r="J70" s="33"/>
      <c r="K70" s="33"/>
      <c r="L70" s="208"/>
      <c r="M70" s="208"/>
      <c r="N70" s="208"/>
      <c r="O70" s="208"/>
      <c r="P70" s="208"/>
      <c r="Q70" s="208"/>
    </row>
    <row r="71" spans="1:17" s="27" customFormat="1" ht="15" customHeight="1" x14ac:dyDescent="0.3">
      <c r="A71" s="208"/>
      <c r="B71" s="243"/>
      <c r="C71" s="244"/>
      <c r="D71" s="244"/>
      <c r="E71" s="245"/>
      <c r="F71" s="208"/>
      <c r="G71" s="356" t="s">
        <v>244</v>
      </c>
      <c r="H71" s="356"/>
      <c r="I71" s="356"/>
      <c r="J71" s="33"/>
      <c r="K71" s="33"/>
      <c r="L71" s="208"/>
      <c r="M71" s="208"/>
      <c r="N71" s="208"/>
      <c r="O71" s="208"/>
      <c r="P71" s="208"/>
      <c r="Q71" s="208"/>
    </row>
    <row r="72" spans="1:17" s="27" customFormat="1" ht="14.25" x14ac:dyDescent="0.3">
      <c r="A72" s="208"/>
      <c r="B72" s="208"/>
      <c r="C72" s="244"/>
      <c r="D72" s="244"/>
      <c r="E72" s="246"/>
      <c r="F72" s="246"/>
      <c r="G72" s="208"/>
      <c r="H72" s="208"/>
      <c r="I72" s="208"/>
      <c r="J72" s="33"/>
      <c r="K72" s="33"/>
      <c r="L72" s="208"/>
      <c r="M72" s="208"/>
      <c r="N72" s="208"/>
      <c r="O72" s="208"/>
      <c r="P72" s="208"/>
      <c r="Q72" s="208"/>
    </row>
    <row r="73" spans="1:17" s="27" customFormat="1" ht="14.25" x14ac:dyDescent="0.3">
      <c r="A73" s="208" t="s">
        <v>185</v>
      </c>
      <c r="B73" s="243"/>
      <c r="C73" s="247"/>
      <c r="D73" s="247"/>
      <c r="E73" s="247"/>
      <c r="F73" s="247"/>
      <c r="G73" s="368" t="s">
        <v>245</v>
      </c>
      <c r="H73" s="368"/>
      <c r="I73" s="248">
        <f>+[1]JULIO!J71</f>
        <v>345372006</v>
      </c>
      <c r="J73" s="33"/>
      <c r="K73" s="33"/>
      <c r="L73" s="208"/>
      <c r="M73" s="208"/>
      <c r="N73" s="208"/>
      <c r="O73" s="208"/>
      <c r="P73" s="208"/>
      <c r="Q73" s="208"/>
    </row>
    <row r="74" spans="1:17" s="27" customFormat="1" ht="15.75" x14ac:dyDescent="0.3">
      <c r="A74" s="249" t="s">
        <v>252</v>
      </c>
      <c r="B74" s="247"/>
      <c r="C74" s="247"/>
      <c r="D74" s="247"/>
      <c r="E74" s="247"/>
      <c r="F74" s="247"/>
      <c r="G74" s="369" t="s">
        <v>246</v>
      </c>
      <c r="H74" s="369"/>
      <c r="I74" s="250">
        <f>+(I69-I73)/I73</f>
        <v>-1.5908527340226875E-3</v>
      </c>
      <c r="J74" s="33"/>
      <c r="K74" s="33"/>
      <c r="L74" s="208"/>
      <c r="M74" s="208"/>
      <c r="N74" s="208"/>
      <c r="O74" s="208"/>
      <c r="P74" s="208"/>
      <c r="Q74" s="208"/>
    </row>
    <row r="75" spans="1:17" s="27" customFormat="1" ht="14.25" x14ac:dyDescent="0.3">
      <c r="A75" s="251" t="s">
        <v>187</v>
      </c>
      <c r="B75" s="247"/>
      <c r="C75" s="208"/>
      <c r="D75" s="208"/>
      <c r="E75" s="208"/>
      <c r="F75" s="208"/>
      <c r="G75" s="370" t="s">
        <v>247</v>
      </c>
      <c r="H75" s="370"/>
      <c r="I75" s="253">
        <f>+I69-I73</f>
        <v>-549436</v>
      </c>
      <c r="J75" s="33"/>
      <c r="K75" s="33"/>
      <c r="L75" s="208"/>
      <c r="M75" s="208"/>
      <c r="N75" s="208"/>
      <c r="O75" s="208"/>
      <c r="P75" s="208"/>
      <c r="Q75" s="208"/>
    </row>
    <row r="76" spans="1:17" x14ac:dyDescent="0.25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</row>
  </sheetData>
  <mergeCells count="33">
    <mergeCell ref="G71:I71"/>
    <mergeCell ref="G73:H73"/>
    <mergeCell ref="G74:H74"/>
    <mergeCell ref="G75:H75"/>
    <mergeCell ref="I60:I61"/>
    <mergeCell ref="J60:J61"/>
    <mergeCell ref="K60:K61"/>
    <mergeCell ref="A66:D69"/>
    <mergeCell ref="G66:H66"/>
    <mergeCell ref="G67:H67"/>
    <mergeCell ref="G69:H69"/>
    <mergeCell ref="I7:I8"/>
    <mergeCell ref="J7:J8"/>
    <mergeCell ref="K7:K8"/>
    <mergeCell ref="L7:L8"/>
    <mergeCell ref="A60:A61"/>
    <mergeCell ref="B60:B61"/>
    <mergeCell ref="C60:D60"/>
    <mergeCell ref="G60:G61"/>
    <mergeCell ref="H60:H61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6"/>
  <sheetViews>
    <sheetView workbookViewId="0">
      <selection activeCell="F21" sqref="F21"/>
    </sheetView>
  </sheetViews>
  <sheetFormatPr baseColWidth="10" defaultRowHeight="15" x14ac:dyDescent="0.25"/>
  <cols>
    <col min="1" max="1" width="36.42578125" customWidth="1"/>
    <col min="2" max="2" width="26.85546875" customWidth="1"/>
    <col min="5" max="5" width="14.28515625" customWidth="1"/>
    <col min="9" max="9" width="21.85546875" customWidth="1"/>
    <col min="10" max="10" width="15.140625" customWidth="1"/>
    <col min="11" max="11" width="48.140625" customWidth="1"/>
    <col min="12" max="12" width="26.140625" customWidth="1"/>
  </cols>
  <sheetData>
    <row r="1" spans="1:16" s="28" customFormat="1" ht="14.25" x14ac:dyDescent="0.3">
      <c r="A1" s="308" t="s">
        <v>118</v>
      </c>
      <c r="B1" s="308"/>
      <c r="C1" s="308"/>
      <c r="D1" s="308"/>
      <c r="E1" s="308"/>
      <c r="F1" s="308"/>
      <c r="G1" s="308"/>
      <c r="H1" s="308"/>
      <c r="I1" s="308"/>
      <c r="J1" s="71"/>
      <c r="K1" s="71"/>
      <c r="L1" s="208"/>
      <c r="M1" s="208"/>
      <c r="N1" s="208"/>
      <c r="O1" s="209"/>
      <c r="P1" s="209"/>
    </row>
    <row r="2" spans="1:16" s="27" customFormat="1" ht="14.25" x14ac:dyDescent="0.3">
      <c r="A2" s="308"/>
      <c r="B2" s="308"/>
      <c r="C2" s="308"/>
      <c r="D2" s="308"/>
      <c r="E2" s="308"/>
      <c r="F2" s="308"/>
      <c r="G2" s="308"/>
      <c r="H2" s="308"/>
      <c r="I2" s="308"/>
      <c r="J2" s="71"/>
      <c r="K2" s="138"/>
      <c r="L2" s="208"/>
      <c r="M2" s="208"/>
      <c r="N2" s="208"/>
      <c r="O2" s="208"/>
      <c r="P2" s="208"/>
    </row>
    <row r="3" spans="1:16" s="27" customFormat="1" ht="14.25" x14ac:dyDescent="0.3">
      <c r="C3" s="332" t="s">
        <v>204</v>
      </c>
      <c r="D3" s="332"/>
      <c r="E3" s="87" t="s">
        <v>121</v>
      </c>
      <c r="F3" s="333" t="s">
        <v>253</v>
      </c>
      <c r="G3" s="334"/>
      <c r="H3" s="334"/>
      <c r="I3" s="335"/>
      <c r="J3" s="71"/>
      <c r="K3" s="71"/>
      <c r="L3" s="208"/>
      <c r="M3" s="208"/>
      <c r="N3" s="208"/>
      <c r="O3" s="208"/>
      <c r="P3" s="208"/>
    </row>
    <row r="4" spans="1:16" s="27" customFormat="1" ht="14.25" x14ac:dyDescent="0.3">
      <c r="C4" s="336" t="s">
        <v>254</v>
      </c>
      <c r="D4" s="336"/>
      <c r="E4" s="326" t="s">
        <v>125</v>
      </c>
      <c r="F4" s="87" t="s">
        <v>190</v>
      </c>
      <c r="G4" s="332" t="s">
        <v>239</v>
      </c>
      <c r="H4" s="332"/>
      <c r="I4" s="332"/>
      <c r="J4" s="71"/>
      <c r="K4" s="71"/>
      <c r="L4" s="208"/>
      <c r="M4" s="208"/>
      <c r="N4" s="208"/>
      <c r="O4" s="208"/>
      <c r="P4" s="208"/>
    </row>
    <row r="5" spans="1:16" s="27" customFormat="1" ht="14.25" x14ac:dyDescent="0.3">
      <c r="C5" s="337" t="s">
        <v>208</v>
      </c>
      <c r="D5" s="338"/>
      <c r="E5" s="326"/>
      <c r="F5" s="108" t="s">
        <v>192</v>
      </c>
      <c r="G5" s="345" t="s">
        <v>250</v>
      </c>
      <c r="H5" s="339"/>
      <c r="I5" s="339"/>
      <c r="J5" s="71"/>
      <c r="K5" s="71"/>
      <c r="L5" s="208"/>
      <c r="M5" s="208"/>
      <c r="N5" s="208"/>
      <c r="O5" s="208"/>
      <c r="P5" s="208"/>
    </row>
    <row r="6" spans="1:16" s="27" customFormat="1" ht="14.25" x14ac:dyDescent="0.3">
      <c r="B6" s="34"/>
      <c r="C6" s="34"/>
      <c r="D6" s="35"/>
      <c r="G6" s="71"/>
      <c r="H6" s="34"/>
      <c r="I6" s="26"/>
      <c r="J6" s="71"/>
      <c r="K6" s="71"/>
      <c r="L6" s="208"/>
      <c r="M6" s="208"/>
      <c r="N6" s="208"/>
      <c r="O6" s="208"/>
      <c r="P6" s="208"/>
    </row>
    <row r="7" spans="1:16" s="28" customFormat="1" ht="15" customHeight="1" x14ac:dyDescent="0.3">
      <c r="A7" s="356" t="s">
        <v>225</v>
      </c>
      <c r="B7" s="356" t="s">
        <v>226</v>
      </c>
      <c r="C7" s="356" t="s">
        <v>6</v>
      </c>
      <c r="D7" s="356"/>
      <c r="E7" s="150" t="s">
        <v>7</v>
      </c>
      <c r="F7" s="150" t="s">
        <v>132</v>
      </c>
      <c r="G7" s="356" t="s">
        <v>243</v>
      </c>
      <c r="H7" s="356" t="s">
        <v>134</v>
      </c>
      <c r="I7" s="353" t="s">
        <v>255</v>
      </c>
      <c r="J7" s="354"/>
      <c r="K7" s="363"/>
      <c r="L7" s="364"/>
      <c r="M7" s="208"/>
      <c r="N7" s="208"/>
      <c r="O7" s="209"/>
      <c r="P7" s="209"/>
    </row>
    <row r="8" spans="1:16" s="28" customFormat="1" ht="14.25" x14ac:dyDescent="0.3">
      <c r="A8" s="356"/>
      <c r="B8" s="356"/>
      <c r="C8" s="150" t="s">
        <v>15</v>
      </c>
      <c r="D8" s="150" t="s">
        <v>16</v>
      </c>
      <c r="E8" s="150" t="s">
        <v>17</v>
      </c>
      <c r="F8" s="150" t="s">
        <v>17</v>
      </c>
      <c r="G8" s="356"/>
      <c r="H8" s="356"/>
      <c r="I8" s="353"/>
      <c r="J8" s="354"/>
      <c r="K8" s="363"/>
      <c r="L8" s="364"/>
      <c r="M8" s="208"/>
      <c r="N8" s="208"/>
      <c r="O8" s="209"/>
      <c r="P8" s="209"/>
    </row>
    <row r="9" spans="1:16" s="217" customFormat="1" ht="14.25" x14ac:dyDescent="0.3">
      <c r="A9" s="178" t="s">
        <v>18</v>
      </c>
      <c r="B9" s="179" t="s">
        <v>19</v>
      </c>
      <c r="C9" s="181">
        <v>43358</v>
      </c>
      <c r="D9" s="181">
        <v>43388</v>
      </c>
      <c r="E9" s="180">
        <v>84000</v>
      </c>
      <c r="F9" s="182" t="s">
        <v>256</v>
      </c>
      <c r="G9" s="185">
        <v>0</v>
      </c>
      <c r="H9" s="183" t="s">
        <v>135</v>
      </c>
      <c r="I9" s="255">
        <v>32747060</v>
      </c>
      <c r="J9" s="256"/>
      <c r="K9" s="215"/>
      <c r="L9" s="196"/>
      <c r="M9" s="216"/>
      <c r="N9" s="216"/>
      <c r="O9" s="216"/>
      <c r="P9" s="216"/>
    </row>
    <row r="10" spans="1:16" s="217" customFormat="1" ht="14.25" x14ac:dyDescent="0.3">
      <c r="A10" s="257" t="s">
        <v>20</v>
      </c>
      <c r="B10" s="258" t="s">
        <v>19</v>
      </c>
      <c r="C10" s="181">
        <v>43362</v>
      </c>
      <c r="D10" s="181">
        <v>43392</v>
      </c>
      <c r="E10" s="180">
        <v>2196</v>
      </c>
      <c r="F10" s="182" t="s">
        <v>257</v>
      </c>
      <c r="G10" s="185">
        <v>0</v>
      </c>
      <c r="H10" s="181" t="s">
        <v>135</v>
      </c>
      <c r="I10" s="255">
        <v>1004100</v>
      </c>
      <c r="J10" s="196"/>
      <c r="K10" s="215"/>
      <c r="L10" s="256"/>
      <c r="M10" s="216"/>
      <c r="N10" s="216"/>
      <c r="O10" s="216"/>
      <c r="P10" s="216"/>
    </row>
    <row r="11" spans="1:16" s="217" customFormat="1" ht="14.25" x14ac:dyDescent="0.3">
      <c r="A11" s="178" t="s">
        <v>21</v>
      </c>
      <c r="B11" s="179" t="s">
        <v>19</v>
      </c>
      <c r="C11" s="181">
        <v>43357</v>
      </c>
      <c r="D11" s="181">
        <v>43388</v>
      </c>
      <c r="E11" s="180">
        <v>0</v>
      </c>
      <c r="F11" s="182">
        <v>0</v>
      </c>
      <c r="G11" s="213">
        <v>0</v>
      </c>
      <c r="H11" s="183" t="s">
        <v>135</v>
      </c>
      <c r="I11" s="255">
        <v>0</v>
      </c>
      <c r="J11" s="188"/>
      <c r="K11" s="215"/>
      <c r="L11" s="188"/>
      <c r="M11" s="216"/>
      <c r="N11" s="216"/>
      <c r="O11" s="216"/>
      <c r="P11" s="216"/>
    </row>
    <row r="12" spans="1:16" s="217" customFormat="1" ht="14.25" x14ac:dyDescent="0.3">
      <c r="A12" s="178" t="s">
        <v>22</v>
      </c>
      <c r="B12" s="179" t="s">
        <v>19</v>
      </c>
      <c r="C12" s="181">
        <v>43357</v>
      </c>
      <c r="D12" s="181">
        <v>43377</v>
      </c>
      <c r="E12" s="180">
        <v>0</v>
      </c>
      <c r="F12" s="182">
        <v>0</v>
      </c>
      <c r="G12" s="185">
        <v>0</v>
      </c>
      <c r="H12" s="181" t="s">
        <v>135</v>
      </c>
      <c r="I12" s="255">
        <v>0</v>
      </c>
      <c r="J12" s="188"/>
      <c r="K12" s="215"/>
      <c r="L12" s="142"/>
      <c r="M12" s="216"/>
      <c r="N12" s="216"/>
      <c r="O12" s="216"/>
      <c r="P12" s="216"/>
    </row>
    <row r="13" spans="1:16" s="217" customFormat="1" ht="14.25" x14ac:dyDescent="0.3">
      <c r="A13" s="178" t="s">
        <v>23</v>
      </c>
      <c r="B13" s="179" t="s">
        <v>24</v>
      </c>
      <c r="C13" s="181">
        <v>43364</v>
      </c>
      <c r="D13" s="181">
        <v>43393</v>
      </c>
      <c r="E13" s="180">
        <v>13920</v>
      </c>
      <c r="F13" s="182" t="s">
        <v>258</v>
      </c>
      <c r="G13" s="185">
        <v>0</v>
      </c>
      <c r="H13" s="183" t="s">
        <v>135</v>
      </c>
      <c r="I13" s="255">
        <v>5897760</v>
      </c>
      <c r="J13" s="259"/>
      <c r="K13" s="215"/>
      <c r="L13" s="256"/>
      <c r="M13" s="216"/>
      <c r="N13" s="216"/>
      <c r="O13" s="216"/>
      <c r="P13" s="216"/>
    </row>
    <row r="14" spans="1:16" s="217" customFormat="1" ht="14.25" x14ac:dyDescent="0.3">
      <c r="A14" s="178" t="s">
        <v>25</v>
      </c>
      <c r="B14" s="179" t="s">
        <v>24</v>
      </c>
      <c r="C14" s="181">
        <v>43364</v>
      </c>
      <c r="D14" s="181">
        <v>43393</v>
      </c>
      <c r="E14" s="180">
        <v>15060</v>
      </c>
      <c r="F14" s="182" t="s">
        <v>258</v>
      </c>
      <c r="G14" s="185">
        <v>0</v>
      </c>
      <c r="H14" s="183" t="s">
        <v>135</v>
      </c>
      <c r="I14" s="255">
        <v>7127770</v>
      </c>
      <c r="J14" s="260"/>
      <c r="K14" s="215"/>
      <c r="L14" s="196"/>
      <c r="M14" s="216"/>
      <c r="N14" s="216"/>
      <c r="O14" s="216"/>
      <c r="P14" s="216"/>
    </row>
    <row r="15" spans="1:16" s="217" customFormat="1" ht="14.25" x14ac:dyDescent="0.3">
      <c r="A15" s="178" t="s">
        <v>26</v>
      </c>
      <c r="B15" s="179" t="s">
        <v>24</v>
      </c>
      <c r="C15" s="181">
        <v>43363</v>
      </c>
      <c r="D15" s="181">
        <v>43393</v>
      </c>
      <c r="E15" s="180">
        <v>5730</v>
      </c>
      <c r="F15" s="182" t="s">
        <v>257</v>
      </c>
      <c r="G15" s="185">
        <v>0</v>
      </c>
      <c r="H15" s="183" t="s">
        <v>135</v>
      </c>
      <c r="I15" s="255">
        <v>2619990</v>
      </c>
      <c r="J15" s="196"/>
      <c r="K15" s="215"/>
      <c r="L15" s="220"/>
      <c r="M15" s="216"/>
      <c r="N15" s="216"/>
      <c r="O15" s="216"/>
      <c r="P15" s="216"/>
    </row>
    <row r="16" spans="1:16" s="217" customFormat="1" ht="14.25" x14ac:dyDescent="0.3">
      <c r="A16" s="178" t="s">
        <v>27</v>
      </c>
      <c r="B16" s="179" t="s">
        <v>24</v>
      </c>
      <c r="C16" s="181">
        <v>43363</v>
      </c>
      <c r="D16" s="181">
        <v>43393</v>
      </c>
      <c r="E16" s="180">
        <v>1959</v>
      </c>
      <c r="F16" s="182" t="s">
        <v>257</v>
      </c>
      <c r="G16" s="185">
        <v>0</v>
      </c>
      <c r="H16" s="183" t="s">
        <v>136</v>
      </c>
      <c r="I16" s="255">
        <v>895730</v>
      </c>
      <c r="J16" s="196"/>
      <c r="K16" s="215"/>
      <c r="L16" s="220"/>
      <c r="M16" s="216"/>
      <c r="N16" s="216"/>
      <c r="O16" s="216"/>
      <c r="P16" s="216"/>
    </row>
    <row r="17" spans="1:16" s="217" customFormat="1" ht="14.25" x14ac:dyDescent="0.3">
      <c r="A17" s="178" t="s">
        <v>28</v>
      </c>
      <c r="B17" s="179" t="s">
        <v>24</v>
      </c>
      <c r="C17" s="181">
        <v>43363</v>
      </c>
      <c r="D17" s="181">
        <v>43393</v>
      </c>
      <c r="E17" s="180">
        <v>3742</v>
      </c>
      <c r="F17" s="182" t="s">
        <v>258</v>
      </c>
      <c r="G17" s="185">
        <v>0</v>
      </c>
      <c r="H17" s="183" t="s">
        <v>135</v>
      </c>
      <c r="I17" s="261">
        <v>1601580</v>
      </c>
      <c r="J17" s="142"/>
      <c r="K17" s="215"/>
      <c r="L17" s="142"/>
      <c r="M17" s="216"/>
      <c r="N17" s="216"/>
      <c r="O17" s="216"/>
      <c r="P17" s="216"/>
    </row>
    <row r="18" spans="1:16" s="217" customFormat="1" ht="14.25" x14ac:dyDescent="0.3">
      <c r="A18" s="178" t="s">
        <v>29</v>
      </c>
      <c r="B18" s="179" t="s">
        <v>24</v>
      </c>
      <c r="C18" s="181">
        <v>43364</v>
      </c>
      <c r="D18" s="181">
        <v>43393</v>
      </c>
      <c r="E18" s="180">
        <v>11200</v>
      </c>
      <c r="F18" s="182" t="s">
        <v>258</v>
      </c>
      <c r="G18" s="185">
        <v>0</v>
      </c>
      <c r="H18" s="262" t="s">
        <v>135</v>
      </c>
      <c r="I18" s="255">
        <v>4745330</v>
      </c>
      <c r="J18" s="142"/>
      <c r="K18" s="215"/>
      <c r="L18" s="142"/>
      <c r="M18" s="216"/>
      <c r="N18" s="216"/>
      <c r="O18" s="216"/>
      <c r="P18" s="216"/>
    </row>
    <row r="19" spans="1:16" s="217" customFormat="1" ht="14.25" x14ac:dyDescent="0.3">
      <c r="A19" s="178" t="s">
        <v>137</v>
      </c>
      <c r="B19" s="187" t="s">
        <v>31</v>
      </c>
      <c r="C19" s="181">
        <v>43365</v>
      </c>
      <c r="D19" s="181">
        <v>43397</v>
      </c>
      <c r="E19" s="180">
        <v>38280</v>
      </c>
      <c r="F19" s="182" t="s">
        <v>259</v>
      </c>
      <c r="G19" s="185">
        <v>0</v>
      </c>
      <c r="H19" s="183" t="s">
        <v>135</v>
      </c>
      <c r="I19" s="255">
        <v>15164240</v>
      </c>
      <c r="J19" s="220"/>
      <c r="K19" s="215"/>
      <c r="L19" s="220"/>
      <c r="M19" s="216"/>
      <c r="N19" s="216"/>
      <c r="O19" s="216"/>
      <c r="P19" s="216"/>
    </row>
    <row r="20" spans="1:16" s="217" customFormat="1" ht="14.25" x14ac:dyDescent="0.3">
      <c r="A20" s="178" t="s">
        <v>138</v>
      </c>
      <c r="B20" s="179" t="s">
        <v>33</v>
      </c>
      <c r="C20" s="181">
        <v>43333</v>
      </c>
      <c r="D20" s="181">
        <v>43377</v>
      </c>
      <c r="E20" s="180">
        <v>62700</v>
      </c>
      <c r="F20" s="182" t="s">
        <v>260</v>
      </c>
      <c r="G20" s="185">
        <v>0</v>
      </c>
      <c r="H20" s="183" t="s">
        <v>135</v>
      </c>
      <c r="I20" s="255">
        <v>23901680</v>
      </c>
      <c r="J20" s="196"/>
      <c r="K20" s="215"/>
      <c r="L20" s="196"/>
      <c r="M20" s="216"/>
      <c r="N20" s="216"/>
      <c r="O20" s="216"/>
      <c r="P20" s="216"/>
    </row>
    <row r="21" spans="1:16" s="217" customFormat="1" ht="14.25" x14ac:dyDescent="0.3">
      <c r="A21" s="178" t="s">
        <v>139</v>
      </c>
      <c r="B21" s="179" t="s">
        <v>35</v>
      </c>
      <c r="C21" s="181">
        <v>43362</v>
      </c>
      <c r="D21" s="181">
        <v>43392</v>
      </c>
      <c r="E21" s="180">
        <v>45320</v>
      </c>
      <c r="F21" s="182" t="s">
        <v>256</v>
      </c>
      <c r="G21" s="185">
        <v>0</v>
      </c>
      <c r="H21" s="183" t="s">
        <v>135</v>
      </c>
      <c r="I21" s="255">
        <v>17679730</v>
      </c>
      <c r="J21" s="196"/>
      <c r="K21" s="215"/>
      <c r="L21" s="196"/>
      <c r="M21" s="216"/>
      <c r="N21" s="216"/>
      <c r="O21" s="216"/>
      <c r="P21" s="216"/>
    </row>
    <row r="22" spans="1:16" s="217" customFormat="1" ht="14.25" x14ac:dyDescent="0.3">
      <c r="A22" s="178" t="s">
        <v>140</v>
      </c>
      <c r="B22" s="179" t="s">
        <v>37</v>
      </c>
      <c r="C22" s="181">
        <v>43358</v>
      </c>
      <c r="D22" s="181">
        <v>43377</v>
      </c>
      <c r="E22" s="180">
        <v>49170</v>
      </c>
      <c r="F22" s="182" t="s">
        <v>259</v>
      </c>
      <c r="G22" s="185">
        <v>0</v>
      </c>
      <c r="H22" s="183" t="s">
        <v>135</v>
      </c>
      <c r="I22" s="255">
        <v>19462830</v>
      </c>
      <c r="J22" s="142"/>
      <c r="K22" s="215"/>
      <c r="L22" s="196"/>
      <c r="M22" s="216"/>
      <c r="N22" s="216"/>
      <c r="O22" s="216"/>
      <c r="P22" s="216"/>
    </row>
    <row r="23" spans="1:16" s="217" customFormat="1" ht="14.25" x14ac:dyDescent="0.3">
      <c r="A23" s="178" t="s">
        <v>141</v>
      </c>
      <c r="B23" s="179" t="s">
        <v>39</v>
      </c>
      <c r="C23" s="181">
        <v>43336</v>
      </c>
      <c r="D23" s="181">
        <v>43377</v>
      </c>
      <c r="E23" s="180">
        <v>81180</v>
      </c>
      <c r="F23" s="182" t="s">
        <v>261</v>
      </c>
      <c r="G23" s="185">
        <v>0</v>
      </c>
      <c r="H23" s="183" t="s">
        <v>135</v>
      </c>
      <c r="I23" s="255">
        <v>30922510</v>
      </c>
      <c r="J23" s="196"/>
      <c r="K23" s="215"/>
      <c r="L23" s="196"/>
      <c r="M23" s="216"/>
      <c r="N23" s="216"/>
      <c r="O23" s="216"/>
      <c r="P23" s="216"/>
    </row>
    <row r="24" spans="1:16" s="217" customFormat="1" ht="14.25" x14ac:dyDescent="0.3">
      <c r="A24" s="178" t="s">
        <v>142</v>
      </c>
      <c r="B24" s="179" t="s">
        <v>41</v>
      </c>
      <c r="C24" s="181">
        <v>43364</v>
      </c>
      <c r="D24" s="181">
        <v>43393</v>
      </c>
      <c r="E24" s="180">
        <v>178200</v>
      </c>
      <c r="F24" s="182" t="s">
        <v>256</v>
      </c>
      <c r="G24" s="185">
        <v>0</v>
      </c>
      <c r="H24" s="183" t="s">
        <v>135</v>
      </c>
      <c r="I24" s="255">
        <v>69490410</v>
      </c>
      <c r="J24" s="259"/>
      <c r="K24" s="215"/>
      <c r="L24" s="196"/>
      <c r="M24" s="216"/>
      <c r="N24" s="216"/>
      <c r="O24" s="216"/>
      <c r="P24" s="216"/>
    </row>
    <row r="25" spans="1:16" s="217" customFormat="1" ht="14.25" x14ac:dyDescent="0.3">
      <c r="A25" s="178" t="s">
        <v>143</v>
      </c>
      <c r="B25" s="179" t="s">
        <v>43</v>
      </c>
      <c r="C25" s="181">
        <v>43365</v>
      </c>
      <c r="D25" s="181">
        <v>43396</v>
      </c>
      <c r="E25" s="180">
        <v>32120</v>
      </c>
      <c r="F25" s="182" t="s">
        <v>256</v>
      </c>
      <c r="G25" s="185">
        <v>0</v>
      </c>
      <c r="H25" s="183" t="s">
        <v>135</v>
      </c>
      <c r="I25" s="255">
        <v>12573470</v>
      </c>
      <c r="J25" s="186"/>
      <c r="K25" s="215"/>
      <c r="L25" s="196"/>
      <c r="M25" s="216"/>
      <c r="N25" s="216"/>
      <c r="O25" s="216"/>
      <c r="P25" s="216"/>
    </row>
    <row r="26" spans="1:16" s="217" customFormat="1" ht="14.25" x14ac:dyDescent="0.3">
      <c r="A26" s="178" t="s">
        <v>144</v>
      </c>
      <c r="B26" s="179" t="s">
        <v>45</v>
      </c>
      <c r="C26" s="223">
        <v>43360</v>
      </c>
      <c r="D26" s="223">
        <v>43377</v>
      </c>
      <c r="E26" s="180">
        <v>38280</v>
      </c>
      <c r="F26" s="182" t="s">
        <v>256</v>
      </c>
      <c r="G26" s="185">
        <v>0</v>
      </c>
      <c r="H26" s="183" t="s">
        <v>135</v>
      </c>
      <c r="I26" s="261">
        <v>15770390</v>
      </c>
      <c r="J26" s="260"/>
      <c r="K26" s="215"/>
      <c r="L26" s="196"/>
      <c r="M26" s="225"/>
      <c r="N26" s="216"/>
      <c r="O26" s="216"/>
      <c r="P26" s="216"/>
    </row>
    <row r="27" spans="1:16" s="217" customFormat="1" ht="14.25" x14ac:dyDescent="0.3">
      <c r="A27" s="178" t="s">
        <v>145</v>
      </c>
      <c r="B27" s="179" t="s">
        <v>47</v>
      </c>
      <c r="C27" s="223">
        <v>43305</v>
      </c>
      <c r="D27" s="263">
        <v>43333</v>
      </c>
      <c r="E27" s="180">
        <v>0</v>
      </c>
      <c r="F27" s="182">
        <v>0</v>
      </c>
      <c r="G27" s="185">
        <v>0</v>
      </c>
      <c r="H27" s="183" t="s">
        <v>136</v>
      </c>
      <c r="I27" s="261">
        <v>0</v>
      </c>
      <c r="J27" s="188"/>
      <c r="K27" s="215"/>
      <c r="L27" s="188"/>
      <c r="M27" s="216"/>
      <c r="N27" s="216"/>
      <c r="O27" s="216"/>
      <c r="P27" s="216"/>
    </row>
    <row r="28" spans="1:16" s="217" customFormat="1" ht="14.25" x14ac:dyDescent="0.3">
      <c r="A28" s="178" t="s">
        <v>146</v>
      </c>
      <c r="B28" s="179" t="s">
        <v>49</v>
      </c>
      <c r="C28" s="181">
        <v>43360</v>
      </c>
      <c r="D28" s="181">
        <v>43390</v>
      </c>
      <c r="E28" s="180">
        <v>1719</v>
      </c>
      <c r="F28" s="182" t="s">
        <v>257</v>
      </c>
      <c r="G28" s="185">
        <v>0</v>
      </c>
      <c r="H28" s="183" t="s">
        <v>135</v>
      </c>
      <c r="I28" s="255">
        <v>786000</v>
      </c>
      <c r="J28" s="196"/>
      <c r="K28" s="215"/>
      <c r="L28" s="196"/>
      <c r="M28" s="216"/>
      <c r="N28" s="216"/>
      <c r="O28" s="216"/>
      <c r="P28" s="216"/>
    </row>
    <row r="29" spans="1:16" s="217" customFormat="1" ht="14.25" x14ac:dyDescent="0.3">
      <c r="A29" s="178" t="s">
        <v>147</v>
      </c>
      <c r="B29" s="179" t="s">
        <v>51</v>
      </c>
      <c r="C29" s="181">
        <v>43357</v>
      </c>
      <c r="D29" s="181">
        <v>43386</v>
      </c>
      <c r="E29" s="180">
        <v>236</v>
      </c>
      <c r="F29" s="182" t="s">
        <v>257</v>
      </c>
      <c r="G29" s="185">
        <v>0</v>
      </c>
      <c r="H29" s="183" t="s">
        <v>135</v>
      </c>
      <c r="I29" s="255">
        <v>107910</v>
      </c>
      <c r="J29" s="196"/>
      <c r="K29" s="215"/>
      <c r="L29" s="196"/>
      <c r="M29" s="216"/>
      <c r="N29" s="216"/>
      <c r="O29" s="216"/>
      <c r="P29" s="216"/>
    </row>
    <row r="30" spans="1:16" s="217" customFormat="1" ht="14.25" x14ac:dyDescent="0.3">
      <c r="A30" s="178" t="s">
        <v>148</v>
      </c>
      <c r="B30" s="179" t="s">
        <v>53</v>
      </c>
      <c r="C30" s="181">
        <v>43360</v>
      </c>
      <c r="D30" s="181">
        <v>43377</v>
      </c>
      <c r="E30" s="180">
        <v>5440</v>
      </c>
      <c r="F30" s="182" t="s">
        <v>257</v>
      </c>
      <c r="G30" s="185">
        <v>0</v>
      </c>
      <c r="H30" s="183" t="s">
        <v>135</v>
      </c>
      <c r="I30" s="255">
        <v>2487390</v>
      </c>
      <c r="J30" s="196"/>
      <c r="K30" s="215"/>
      <c r="L30" s="196"/>
      <c r="M30" s="216"/>
      <c r="N30" s="216"/>
      <c r="O30" s="216"/>
      <c r="P30" s="216"/>
    </row>
    <row r="31" spans="1:16" s="217" customFormat="1" ht="14.25" x14ac:dyDescent="0.3">
      <c r="A31" s="178" t="s">
        <v>151</v>
      </c>
      <c r="B31" s="179" t="s">
        <v>59</v>
      </c>
      <c r="C31" s="181">
        <v>43365</v>
      </c>
      <c r="D31" s="181">
        <v>43396</v>
      </c>
      <c r="E31" s="180">
        <v>5200</v>
      </c>
      <c r="F31" s="182" t="s">
        <v>257</v>
      </c>
      <c r="G31" s="185">
        <v>0</v>
      </c>
      <c r="H31" s="183" t="s">
        <v>135</v>
      </c>
      <c r="I31" s="255">
        <v>2377650</v>
      </c>
      <c r="J31" s="259"/>
      <c r="K31" s="215"/>
      <c r="L31" s="142"/>
      <c r="M31" s="216"/>
      <c r="N31" s="216"/>
      <c r="O31" s="216"/>
      <c r="P31" s="216"/>
    </row>
    <row r="32" spans="1:16" s="217" customFormat="1" ht="14.25" x14ac:dyDescent="0.3">
      <c r="A32" s="178" t="s">
        <v>152</v>
      </c>
      <c r="B32" s="179" t="s">
        <v>61</v>
      </c>
      <c r="C32" s="181">
        <v>43358</v>
      </c>
      <c r="D32" s="181">
        <v>43388</v>
      </c>
      <c r="E32" s="180">
        <v>19040</v>
      </c>
      <c r="F32" s="182" t="s">
        <v>257</v>
      </c>
      <c r="G32" s="185">
        <v>0</v>
      </c>
      <c r="H32" s="183" t="s">
        <v>135</v>
      </c>
      <c r="I32" s="255">
        <v>8705850</v>
      </c>
      <c r="J32" s="226"/>
      <c r="K32" s="215"/>
      <c r="L32" s="142"/>
      <c r="M32" s="216"/>
      <c r="N32" s="216"/>
      <c r="O32" s="216"/>
      <c r="P32" s="216"/>
    </row>
    <row r="33" spans="1:16" s="217" customFormat="1" ht="14.25" x14ac:dyDescent="0.3">
      <c r="A33" s="178" t="s">
        <v>153</v>
      </c>
      <c r="B33" s="187" t="s">
        <v>63</v>
      </c>
      <c r="C33" s="181">
        <v>43360</v>
      </c>
      <c r="D33" s="181">
        <v>43391</v>
      </c>
      <c r="E33" s="180">
        <v>7440</v>
      </c>
      <c r="F33" s="182">
        <v>423.69</v>
      </c>
      <c r="G33" s="185">
        <v>0</v>
      </c>
      <c r="H33" s="183" t="s">
        <v>135</v>
      </c>
      <c r="I33" s="255">
        <v>3152260</v>
      </c>
      <c r="J33" s="220"/>
      <c r="K33" s="215"/>
      <c r="L33" s="196"/>
      <c r="M33" s="216"/>
      <c r="N33" s="216"/>
      <c r="O33" s="216"/>
      <c r="P33" s="216"/>
    </row>
    <row r="34" spans="1:16" s="217" customFormat="1" ht="14.25" x14ac:dyDescent="0.3">
      <c r="A34" s="178" t="s">
        <v>154</v>
      </c>
      <c r="B34" s="179" t="s">
        <v>65</v>
      </c>
      <c r="C34" s="181">
        <v>43357</v>
      </c>
      <c r="D34" s="181">
        <v>43377</v>
      </c>
      <c r="E34" s="180">
        <v>2321</v>
      </c>
      <c r="F34" s="182" t="s">
        <v>257</v>
      </c>
      <c r="G34" s="185">
        <v>0</v>
      </c>
      <c r="H34" s="183" t="s">
        <v>135</v>
      </c>
      <c r="I34" s="255">
        <v>1061260</v>
      </c>
      <c r="J34" s="196"/>
      <c r="K34" s="215"/>
      <c r="L34" s="142"/>
      <c r="M34" s="216"/>
      <c r="N34" s="216"/>
      <c r="O34" s="216"/>
      <c r="P34" s="216"/>
    </row>
    <row r="35" spans="1:16" s="217" customFormat="1" ht="14.25" x14ac:dyDescent="0.3">
      <c r="A35" s="178" t="s">
        <v>155</v>
      </c>
      <c r="B35" s="179" t="s">
        <v>67</v>
      </c>
      <c r="C35" s="181">
        <v>43348</v>
      </c>
      <c r="D35" s="181">
        <v>43377</v>
      </c>
      <c r="E35" s="180">
        <v>1394</v>
      </c>
      <c r="F35" s="182" t="s">
        <v>257</v>
      </c>
      <c r="G35" s="185">
        <v>0</v>
      </c>
      <c r="H35" s="183" t="s">
        <v>135</v>
      </c>
      <c r="I35" s="255">
        <v>637400</v>
      </c>
      <c r="J35" s="220"/>
      <c r="K35" s="215"/>
      <c r="L35" s="142"/>
      <c r="M35" s="216"/>
      <c r="N35" s="216"/>
      <c r="O35" s="216"/>
      <c r="P35" s="216"/>
    </row>
    <row r="36" spans="1:16" s="217" customFormat="1" ht="14.25" x14ac:dyDescent="0.3">
      <c r="A36" s="178" t="s">
        <v>156</v>
      </c>
      <c r="B36" s="179" t="s">
        <v>69</v>
      </c>
      <c r="C36" s="181">
        <v>43360</v>
      </c>
      <c r="D36" s="181">
        <v>43391</v>
      </c>
      <c r="E36" s="180">
        <v>7120</v>
      </c>
      <c r="F36" s="182" t="s">
        <v>257</v>
      </c>
      <c r="G36" s="185">
        <v>0</v>
      </c>
      <c r="H36" s="183" t="s">
        <v>135</v>
      </c>
      <c r="I36" s="255">
        <v>3255550</v>
      </c>
      <c r="J36" s="260"/>
      <c r="K36" s="215"/>
      <c r="L36" s="220"/>
      <c r="M36" s="216"/>
      <c r="N36" s="216"/>
      <c r="O36" s="216"/>
      <c r="P36" s="216"/>
    </row>
    <row r="37" spans="1:16" s="217" customFormat="1" ht="14.25" x14ac:dyDescent="0.3">
      <c r="A37" s="178" t="s">
        <v>157</v>
      </c>
      <c r="B37" s="179" t="s">
        <v>71</v>
      </c>
      <c r="C37" s="181">
        <v>43357</v>
      </c>
      <c r="D37" s="181">
        <v>43377</v>
      </c>
      <c r="E37" s="180">
        <v>3920</v>
      </c>
      <c r="F37" s="182" t="s">
        <v>258</v>
      </c>
      <c r="G37" s="185">
        <v>0</v>
      </c>
      <c r="H37" s="183" t="s">
        <v>135</v>
      </c>
      <c r="I37" s="255">
        <v>1660860</v>
      </c>
      <c r="J37" s="196"/>
      <c r="K37" s="215"/>
      <c r="L37" s="188"/>
      <c r="M37" s="216"/>
      <c r="N37" s="216"/>
      <c r="O37" s="216"/>
      <c r="P37" s="216"/>
    </row>
    <row r="38" spans="1:16" s="217" customFormat="1" ht="14.25" x14ac:dyDescent="0.3">
      <c r="A38" s="178" t="s">
        <v>158</v>
      </c>
      <c r="B38" s="179" t="s">
        <v>73</v>
      </c>
      <c r="C38" s="181">
        <v>43363</v>
      </c>
      <c r="D38" s="181">
        <v>43392</v>
      </c>
      <c r="E38" s="180">
        <v>2035</v>
      </c>
      <c r="F38" s="182" t="s">
        <v>257</v>
      </c>
      <c r="G38" s="185">
        <v>0</v>
      </c>
      <c r="H38" s="183" t="s">
        <v>135</v>
      </c>
      <c r="I38" s="255">
        <v>930480</v>
      </c>
      <c r="J38" s="196"/>
      <c r="K38" s="215"/>
      <c r="L38" s="220"/>
      <c r="M38" s="216"/>
      <c r="N38" s="216"/>
      <c r="O38" s="216"/>
      <c r="P38" s="216"/>
    </row>
    <row r="39" spans="1:16" s="217" customFormat="1" ht="14.25" x14ac:dyDescent="0.3">
      <c r="A39" s="178" t="s">
        <v>180</v>
      </c>
      <c r="B39" s="179" t="s">
        <v>116</v>
      </c>
      <c r="C39" s="181">
        <v>43358</v>
      </c>
      <c r="D39" s="181">
        <v>43389</v>
      </c>
      <c r="E39" s="180">
        <v>7440</v>
      </c>
      <c r="F39" s="182" t="s">
        <v>257</v>
      </c>
      <c r="G39" s="185">
        <v>0</v>
      </c>
      <c r="H39" s="183" t="s">
        <v>135</v>
      </c>
      <c r="I39" s="255">
        <v>3401860</v>
      </c>
      <c r="J39" s="220"/>
      <c r="K39" s="215"/>
      <c r="L39" s="196"/>
      <c r="M39" s="216"/>
      <c r="N39" s="216"/>
      <c r="O39" s="216"/>
      <c r="P39" s="216"/>
    </row>
    <row r="40" spans="1:16" s="217" customFormat="1" ht="14.25" x14ac:dyDescent="0.3">
      <c r="A40" s="178" t="s">
        <v>160</v>
      </c>
      <c r="B40" s="179" t="s">
        <v>77</v>
      </c>
      <c r="C40" s="181">
        <v>43365</v>
      </c>
      <c r="D40" s="181">
        <v>43396</v>
      </c>
      <c r="E40" s="180">
        <v>9060</v>
      </c>
      <c r="F40" s="182" t="s">
        <v>257</v>
      </c>
      <c r="G40" s="185">
        <v>0</v>
      </c>
      <c r="H40" s="183" t="s">
        <v>135</v>
      </c>
      <c r="I40" s="261">
        <v>4142590</v>
      </c>
      <c r="J40" s="260"/>
      <c r="K40" s="215"/>
      <c r="L40" s="142"/>
      <c r="M40" s="216"/>
      <c r="N40" s="216"/>
      <c r="O40" s="216"/>
      <c r="P40" s="216"/>
    </row>
    <row r="41" spans="1:16" s="217" customFormat="1" ht="14.25" x14ac:dyDescent="0.3">
      <c r="A41" s="178" t="s">
        <v>161</v>
      </c>
      <c r="B41" s="179" t="s">
        <v>79</v>
      </c>
      <c r="C41" s="181">
        <v>43358</v>
      </c>
      <c r="D41" s="181">
        <v>43377</v>
      </c>
      <c r="E41" s="180">
        <v>6400</v>
      </c>
      <c r="F41" s="182" t="s">
        <v>258</v>
      </c>
      <c r="G41" s="185">
        <v>0</v>
      </c>
      <c r="H41" s="183" t="s">
        <v>135</v>
      </c>
      <c r="I41" s="255">
        <v>2711620</v>
      </c>
      <c r="J41" s="142"/>
      <c r="K41" s="215"/>
      <c r="L41" s="196"/>
      <c r="M41" s="216"/>
      <c r="N41" s="216"/>
      <c r="O41" s="216"/>
      <c r="P41" s="216"/>
    </row>
    <row r="42" spans="1:16" s="217" customFormat="1" ht="14.25" x14ac:dyDescent="0.3">
      <c r="A42" s="227" t="s">
        <v>162</v>
      </c>
      <c r="B42" s="187" t="s">
        <v>81</v>
      </c>
      <c r="C42" s="181">
        <v>43352</v>
      </c>
      <c r="D42" s="181">
        <v>43381</v>
      </c>
      <c r="E42" s="180">
        <v>3247</v>
      </c>
      <c r="F42" s="182" t="s">
        <v>257</v>
      </c>
      <c r="G42" s="185">
        <v>0</v>
      </c>
      <c r="H42" s="183" t="s">
        <v>135</v>
      </c>
      <c r="I42" s="255">
        <v>1618740</v>
      </c>
      <c r="J42" s="188"/>
      <c r="K42" s="215"/>
      <c r="L42" s="196"/>
      <c r="M42" s="216"/>
      <c r="N42" s="216"/>
      <c r="O42" s="216"/>
      <c r="P42" s="216"/>
    </row>
    <row r="43" spans="1:16" s="217" customFormat="1" ht="14.25" x14ac:dyDescent="0.3">
      <c r="A43" s="227" t="s">
        <v>163</v>
      </c>
      <c r="B43" s="187" t="s">
        <v>83</v>
      </c>
      <c r="C43" s="181">
        <v>43358</v>
      </c>
      <c r="D43" s="181">
        <v>43377</v>
      </c>
      <c r="E43" s="180">
        <v>8340</v>
      </c>
      <c r="F43" s="182" t="s">
        <v>258</v>
      </c>
      <c r="G43" s="185">
        <v>0</v>
      </c>
      <c r="H43" s="183" t="s">
        <v>135</v>
      </c>
      <c r="I43" s="255">
        <v>3533580</v>
      </c>
      <c r="J43" s="220"/>
      <c r="K43" s="215"/>
      <c r="L43" s="196"/>
      <c r="M43" s="216"/>
      <c r="N43" s="216"/>
      <c r="O43" s="216"/>
      <c r="P43" s="216"/>
    </row>
    <row r="44" spans="1:16" s="217" customFormat="1" ht="14.25" x14ac:dyDescent="0.3">
      <c r="A44" s="178" t="s">
        <v>196</v>
      </c>
      <c r="B44" s="187" t="s">
        <v>85</v>
      </c>
      <c r="C44" s="181">
        <v>43365</v>
      </c>
      <c r="D44" s="181">
        <v>43377</v>
      </c>
      <c r="E44" s="180">
        <v>6080</v>
      </c>
      <c r="F44" s="182" t="s">
        <v>258</v>
      </c>
      <c r="G44" s="185">
        <v>0</v>
      </c>
      <c r="H44" s="183" t="s">
        <v>135</v>
      </c>
      <c r="I44" s="255">
        <v>2962320</v>
      </c>
      <c r="J44" s="142"/>
      <c r="K44" s="215"/>
      <c r="L44" s="188"/>
      <c r="M44" s="216"/>
      <c r="N44" s="216"/>
      <c r="O44" s="216"/>
      <c r="P44" s="216"/>
    </row>
    <row r="45" spans="1:16" s="217" customFormat="1" ht="14.25" x14ac:dyDescent="0.3">
      <c r="A45" s="178" t="s">
        <v>166</v>
      </c>
      <c r="B45" s="179" t="s">
        <v>89</v>
      </c>
      <c r="C45" s="181">
        <v>43334</v>
      </c>
      <c r="D45" s="181">
        <v>43377</v>
      </c>
      <c r="E45" s="180">
        <v>15120</v>
      </c>
      <c r="F45" s="182" t="s">
        <v>262</v>
      </c>
      <c r="G45" s="185">
        <v>0</v>
      </c>
      <c r="H45" s="183" t="s">
        <v>135</v>
      </c>
      <c r="I45" s="255">
        <v>6802790</v>
      </c>
      <c r="J45" s="228"/>
      <c r="K45" s="215"/>
      <c r="L45" s="188"/>
      <c r="M45" s="216"/>
      <c r="N45" s="216"/>
      <c r="O45" s="216"/>
      <c r="P45" s="216"/>
    </row>
    <row r="46" spans="1:16" s="217" customFormat="1" ht="14.25" x14ac:dyDescent="0.3">
      <c r="A46" s="178" t="s">
        <v>167</v>
      </c>
      <c r="B46" s="179" t="s">
        <v>91</v>
      </c>
      <c r="C46" s="181"/>
      <c r="D46" s="181">
        <v>43377</v>
      </c>
      <c r="E46" s="180">
        <v>7840</v>
      </c>
      <c r="F46" s="182" t="s">
        <v>258</v>
      </c>
      <c r="G46" s="185">
        <v>0</v>
      </c>
      <c r="H46" s="183" t="s">
        <v>135</v>
      </c>
      <c r="I46" s="255">
        <v>3321730</v>
      </c>
      <c r="J46" s="142"/>
      <c r="K46" s="215"/>
      <c r="L46" s="142"/>
      <c r="M46" s="216"/>
      <c r="N46" s="216"/>
      <c r="O46" s="216"/>
      <c r="P46" s="216"/>
    </row>
    <row r="47" spans="1:16" s="217" customFormat="1" ht="14.25" x14ac:dyDescent="0.3">
      <c r="A47" s="178" t="s">
        <v>168</v>
      </c>
      <c r="B47" s="179" t="s">
        <v>93</v>
      </c>
      <c r="C47" s="181">
        <v>43364</v>
      </c>
      <c r="D47" s="181">
        <v>43377</v>
      </c>
      <c r="E47" s="180">
        <v>4615</v>
      </c>
      <c r="F47" s="182" t="s">
        <v>258</v>
      </c>
      <c r="G47" s="185">
        <v>0</v>
      </c>
      <c r="H47" s="183" t="s">
        <v>135</v>
      </c>
      <c r="I47" s="255">
        <v>1955330</v>
      </c>
      <c r="J47" s="142"/>
      <c r="K47" s="215"/>
      <c r="L47" s="142"/>
      <c r="M47" s="216"/>
      <c r="N47" s="216"/>
      <c r="O47" s="216"/>
      <c r="P47" s="216"/>
    </row>
    <row r="48" spans="1:16" s="217" customFormat="1" ht="14.25" x14ac:dyDescent="0.3">
      <c r="A48" s="178" t="s">
        <v>169</v>
      </c>
      <c r="B48" s="179" t="s">
        <v>95</v>
      </c>
      <c r="C48" s="181">
        <v>43365</v>
      </c>
      <c r="D48" s="181">
        <v>43396</v>
      </c>
      <c r="E48" s="180">
        <v>7040</v>
      </c>
      <c r="F48" s="182" t="s">
        <v>258</v>
      </c>
      <c r="G48" s="185">
        <v>0</v>
      </c>
      <c r="H48" s="183" t="s">
        <v>135</v>
      </c>
      <c r="I48" s="255">
        <v>2982770</v>
      </c>
      <c r="J48" s="259"/>
      <c r="K48" s="215"/>
      <c r="L48" s="228"/>
      <c r="M48" s="216"/>
      <c r="N48" s="216"/>
      <c r="O48" s="216"/>
      <c r="P48" s="216"/>
    </row>
    <row r="49" spans="1:16" s="217" customFormat="1" ht="14.25" x14ac:dyDescent="0.3">
      <c r="A49" s="178" t="s">
        <v>170</v>
      </c>
      <c r="B49" s="179" t="s">
        <v>97</v>
      </c>
      <c r="C49" s="181" t="s">
        <v>171</v>
      </c>
      <c r="D49" s="181" t="s">
        <v>171</v>
      </c>
      <c r="E49" s="180">
        <v>0</v>
      </c>
      <c r="F49" s="182">
        <v>0</v>
      </c>
      <c r="G49" s="185">
        <v>0</v>
      </c>
      <c r="H49" s="181" t="s">
        <v>171</v>
      </c>
      <c r="I49" s="255">
        <v>0</v>
      </c>
      <c r="J49" s="177"/>
      <c r="K49" s="215"/>
      <c r="L49" s="228"/>
      <c r="M49" s="216"/>
      <c r="N49" s="216"/>
      <c r="O49" s="216"/>
      <c r="P49" s="216"/>
    </row>
    <row r="50" spans="1:16" s="217" customFormat="1" ht="14.25" x14ac:dyDescent="0.3">
      <c r="A50" s="178" t="s">
        <v>172</v>
      </c>
      <c r="B50" s="187" t="s">
        <v>100</v>
      </c>
      <c r="C50" s="181">
        <v>43362</v>
      </c>
      <c r="D50" s="181">
        <v>43377</v>
      </c>
      <c r="E50" s="180">
        <v>6720</v>
      </c>
      <c r="F50" s="182" t="s">
        <v>258</v>
      </c>
      <c r="G50" s="185">
        <v>0</v>
      </c>
      <c r="H50" s="264" t="s">
        <v>135</v>
      </c>
      <c r="I50" s="255">
        <v>2847190</v>
      </c>
      <c r="J50" s="220"/>
      <c r="K50" s="215"/>
      <c r="L50" s="142"/>
      <c r="M50" s="216"/>
      <c r="N50" s="216"/>
      <c r="O50" s="216"/>
      <c r="P50" s="216"/>
    </row>
    <row r="51" spans="1:16" s="217" customFormat="1" ht="14.25" x14ac:dyDescent="0.3">
      <c r="A51" s="178" t="s">
        <v>173</v>
      </c>
      <c r="B51" s="179" t="s">
        <v>102</v>
      </c>
      <c r="C51" s="181">
        <v>43354</v>
      </c>
      <c r="D51" s="181">
        <v>43383</v>
      </c>
      <c r="E51" s="180">
        <v>2577</v>
      </c>
      <c r="F51" s="182" t="s">
        <v>257</v>
      </c>
      <c r="G51" s="185">
        <v>0</v>
      </c>
      <c r="H51" s="183" t="s">
        <v>135</v>
      </c>
      <c r="I51" s="255">
        <v>1178300</v>
      </c>
      <c r="J51" s="260"/>
      <c r="K51" s="215"/>
      <c r="L51" s="196"/>
      <c r="M51" s="216"/>
      <c r="N51" s="216"/>
      <c r="O51" s="216"/>
      <c r="P51" s="216"/>
    </row>
    <row r="52" spans="1:16" s="217" customFormat="1" ht="14.25" x14ac:dyDescent="0.3">
      <c r="A52" s="178" t="s">
        <v>174</v>
      </c>
      <c r="B52" s="179" t="s">
        <v>104</v>
      </c>
      <c r="C52" s="181">
        <v>43362</v>
      </c>
      <c r="D52" s="181">
        <v>43392</v>
      </c>
      <c r="E52" s="180">
        <v>7120</v>
      </c>
      <c r="F52" s="182" t="s">
        <v>257</v>
      </c>
      <c r="G52" s="185">
        <v>0</v>
      </c>
      <c r="H52" s="183" t="s">
        <v>135</v>
      </c>
      <c r="I52" s="255">
        <v>3255540</v>
      </c>
      <c r="J52" s="188"/>
      <c r="K52" s="215"/>
      <c r="L52" s="196"/>
      <c r="M52" s="216"/>
      <c r="N52" s="216"/>
      <c r="O52" s="216"/>
      <c r="P52" s="216"/>
    </row>
    <row r="53" spans="1:16" s="217" customFormat="1" ht="14.25" x14ac:dyDescent="0.3">
      <c r="A53" s="178" t="s">
        <v>175</v>
      </c>
      <c r="B53" s="179" t="s">
        <v>106</v>
      </c>
      <c r="C53" s="181">
        <v>43360</v>
      </c>
      <c r="D53" s="181">
        <v>43390</v>
      </c>
      <c r="E53" s="180">
        <v>2217</v>
      </c>
      <c r="F53" s="182" t="s">
        <v>257</v>
      </c>
      <c r="G53" s="185">
        <v>0</v>
      </c>
      <c r="H53" s="183" t="s">
        <v>135</v>
      </c>
      <c r="I53" s="255">
        <v>1024260</v>
      </c>
      <c r="J53" s="220"/>
      <c r="K53" s="215"/>
      <c r="L53" s="142"/>
      <c r="M53" s="216"/>
      <c r="N53" s="216"/>
      <c r="O53" s="216"/>
      <c r="P53" s="216"/>
    </row>
    <row r="54" spans="1:16" s="217" customFormat="1" ht="14.25" x14ac:dyDescent="0.3">
      <c r="A54" s="178" t="s">
        <v>176</v>
      </c>
      <c r="B54" s="179" t="s">
        <v>108</v>
      </c>
      <c r="C54" s="181">
        <v>43362</v>
      </c>
      <c r="D54" s="181">
        <v>43377</v>
      </c>
      <c r="E54" s="180">
        <v>5309</v>
      </c>
      <c r="F54" s="182" t="s">
        <v>258</v>
      </c>
      <c r="G54" s="185">
        <v>0</v>
      </c>
      <c r="H54" s="183" t="s">
        <v>135</v>
      </c>
      <c r="I54" s="255">
        <v>2255880</v>
      </c>
      <c r="J54" s="196"/>
      <c r="K54" s="215"/>
      <c r="L54" s="142"/>
      <c r="M54" s="216"/>
      <c r="N54" s="216"/>
      <c r="O54" s="216"/>
      <c r="P54" s="216"/>
    </row>
    <row r="55" spans="1:16" s="217" customFormat="1" ht="14.25" x14ac:dyDescent="0.3">
      <c r="A55" s="178" t="s">
        <v>177</v>
      </c>
      <c r="B55" s="179" t="s">
        <v>110</v>
      </c>
      <c r="C55" s="181">
        <v>43362</v>
      </c>
      <c r="D55" s="181">
        <v>43392</v>
      </c>
      <c r="E55" s="180">
        <v>7680</v>
      </c>
      <c r="F55" s="182" t="s">
        <v>258</v>
      </c>
      <c r="G55" s="185">
        <v>0</v>
      </c>
      <c r="H55" s="183" t="s">
        <v>135</v>
      </c>
      <c r="I55" s="255">
        <v>3253930</v>
      </c>
      <c r="J55" s="196"/>
      <c r="K55" s="215"/>
      <c r="L55" s="196"/>
      <c r="M55" s="216"/>
      <c r="N55" s="216"/>
      <c r="O55" s="216"/>
      <c r="P55" s="216"/>
    </row>
    <row r="56" spans="1:16" s="217" customFormat="1" ht="14.25" x14ac:dyDescent="0.3">
      <c r="A56" s="178" t="s">
        <v>178</v>
      </c>
      <c r="B56" s="179" t="s">
        <v>112</v>
      </c>
      <c r="C56" s="223">
        <v>43365</v>
      </c>
      <c r="D56" s="181">
        <v>43377</v>
      </c>
      <c r="E56" s="180">
        <v>1249</v>
      </c>
      <c r="F56" s="182" t="s">
        <v>257</v>
      </c>
      <c r="G56" s="185">
        <v>0</v>
      </c>
      <c r="H56" s="183" t="s">
        <v>135</v>
      </c>
      <c r="I56" s="255">
        <v>571100</v>
      </c>
      <c r="J56" s="188"/>
      <c r="K56" s="215"/>
      <c r="L56" s="188"/>
      <c r="M56" s="216"/>
      <c r="N56" s="216"/>
      <c r="O56" s="216"/>
      <c r="P56" s="216"/>
    </row>
    <row r="57" spans="1:16" s="217" customFormat="1" ht="14.25" x14ac:dyDescent="0.3">
      <c r="A57" s="178" t="s">
        <v>179</v>
      </c>
      <c r="B57" s="179" t="s">
        <v>114</v>
      </c>
      <c r="C57" s="181">
        <v>43372</v>
      </c>
      <c r="D57" s="181">
        <v>43377</v>
      </c>
      <c r="E57" s="180">
        <v>6320</v>
      </c>
      <c r="F57" s="182" t="s">
        <v>258</v>
      </c>
      <c r="G57" s="185">
        <v>0</v>
      </c>
      <c r="H57" s="183" t="s">
        <v>135</v>
      </c>
      <c r="I57" s="255">
        <v>2677720</v>
      </c>
      <c r="J57" s="142"/>
      <c r="K57" s="215"/>
      <c r="L57" s="188"/>
      <c r="M57" s="216"/>
      <c r="N57" s="216"/>
      <c r="O57" s="216"/>
      <c r="P57" s="216"/>
    </row>
    <row r="58" spans="1:16" s="217" customFormat="1" ht="14.25" x14ac:dyDescent="0.3">
      <c r="A58" s="178" t="s">
        <v>217</v>
      </c>
      <c r="B58" s="179" t="s">
        <v>218</v>
      </c>
      <c r="C58" s="181" t="s">
        <v>251</v>
      </c>
      <c r="D58" s="181">
        <v>43377</v>
      </c>
      <c r="E58" s="180">
        <v>5280</v>
      </c>
      <c r="F58" s="182" t="s">
        <v>256</v>
      </c>
      <c r="G58" s="185">
        <v>0</v>
      </c>
      <c r="H58" s="181" t="s">
        <v>135</v>
      </c>
      <c r="I58" s="255">
        <v>2271460</v>
      </c>
      <c r="J58" s="142"/>
      <c r="K58" s="215"/>
      <c r="L58" s="265"/>
      <c r="M58" s="216"/>
      <c r="N58" s="216"/>
      <c r="O58" s="216"/>
      <c r="P58" s="216"/>
    </row>
    <row r="59" spans="1:16" s="217" customFormat="1" ht="14.25" x14ac:dyDescent="0.3">
      <c r="A59" s="178" t="s">
        <v>227</v>
      </c>
      <c r="B59" s="179" t="s">
        <v>228</v>
      </c>
      <c r="C59" s="181">
        <v>43364</v>
      </c>
      <c r="D59" s="181">
        <v>43393</v>
      </c>
      <c r="E59" s="180">
        <v>12760</v>
      </c>
      <c r="F59" s="182" t="s">
        <v>256</v>
      </c>
      <c r="G59" s="185">
        <v>0</v>
      </c>
      <c r="H59" s="183" t="s">
        <v>135</v>
      </c>
      <c r="I59" s="261">
        <v>5010170</v>
      </c>
      <c r="J59" s="259"/>
      <c r="K59" s="215"/>
      <c r="L59" s="220"/>
      <c r="M59" s="216"/>
      <c r="N59" s="216"/>
      <c r="O59" s="216"/>
      <c r="P59" s="216"/>
    </row>
    <row r="60" spans="1:16" s="27" customFormat="1" ht="14.25" x14ac:dyDescent="0.3">
      <c r="A60" s="356" t="s">
        <v>198</v>
      </c>
      <c r="B60" s="356" t="s">
        <v>4</v>
      </c>
      <c r="C60" s="356" t="s">
        <v>6</v>
      </c>
      <c r="D60" s="356"/>
      <c r="E60" s="150" t="s">
        <v>7</v>
      </c>
      <c r="F60" s="150" t="s">
        <v>132</v>
      </c>
      <c r="G60" s="356" t="s">
        <v>133</v>
      </c>
      <c r="H60" s="356" t="s">
        <v>134</v>
      </c>
      <c r="I60" s="372" t="s">
        <v>11</v>
      </c>
      <c r="J60" s="354"/>
      <c r="K60" s="363"/>
      <c r="L60" s="208"/>
      <c r="M60" s="208"/>
      <c r="N60" s="208"/>
      <c r="O60" s="208"/>
      <c r="P60" s="208"/>
    </row>
    <row r="61" spans="1:16" s="27" customFormat="1" ht="14.25" x14ac:dyDescent="0.3">
      <c r="A61" s="356"/>
      <c r="B61" s="356"/>
      <c r="C61" s="150" t="s">
        <v>15</v>
      </c>
      <c r="D61" s="150" t="s">
        <v>16</v>
      </c>
      <c r="E61" s="150" t="s">
        <v>17</v>
      </c>
      <c r="F61" s="150" t="s">
        <v>17</v>
      </c>
      <c r="G61" s="356"/>
      <c r="H61" s="356"/>
      <c r="I61" s="372"/>
      <c r="J61" s="354"/>
      <c r="K61" s="363"/>
      <c r="L61" s="208"/>
      <c r="M61" s="208"/>
      <c r="N61" s="208"/>
      <c r="O61" s="208"/>
      <c r="P61" s="208"/>
    </row>
    <row r="62" spans="1:16" s="217" customFormat="1" ht="14.25" x14ac:dyDescent="0.3">
      <c r="A62" s="178" t="s">
        <v>149</v>
      </c>
      <c r="B62" s="179" t="s">
        <v>55</v>
      </c>
      <c r="C62" s="181">
        <v>43363</v>
      </c>
      <c r="D62" s="181">
        <v>43377</v>
      </c>
      <c r="E62" s="180">
        <v>0</v>
      </c>
      <c r="F62" s="182" t="s">
        <v>257</v>
      </c>
      <c r="G62" s="185">
        <v>484.23</v>
      </c>
      <c r="H62" s="183" t="s">
        <v>135</v>
      </c>
      <c r="I62" s="255">
        <v>118500</v>
      </c>
      <c r="J62" s="142"/>
      <c r="K62" s="215"/>
      <c r="L62" s="196"/>
      <c r="M62" s="216"/>
      <c r="N62" s="216"/>
      <c r="O62" s="216"/>
      <c r="P62" s="216"/>
    </row>
    <row r="63" spans="1:16" s="27" customFormat="1" ht="14.25" x14ac:dyDescent="0.3">
      <c r="A63" s="178" t="s">
        <v>150</v>
      </c>
      <c r="B63" s="179" t="s">
        <v>57</v>
      </c>
      <c r="C63" s="181">
        <v>43363</v>
      </c>
      <c r="D63" s="181">
        <v>43408</v>
      </c>
      <c r="E63" s="180">
        <v>0</v>
      </c>
      <c r="F63" s="182">
        <v>0</v>
      </c>
      <c r="G63" s="185">
        <v>0</v>
      </c>
      <c r="H63" s="183" t="s">
        <v>135</v>
      </c>
      <c r="I63" s="255">
        <v>0</v>
      </c>
      <c r="J63" s="188"/>
      <c r="K63" s="231"/>
      <c r="L63" s="141"/>
      <c r="M63" s="208"/>
      <c r="N63" s="208"/>
      <c r="O63" s="208"/>
      <c r="P63" s="208"/>
    </row>
    <row r="64" spans="1:16" s="269" customFormat="1" ht="14.25" x14ac:dyDescent="0.3">
      <c r="A64" s="129" t="s">
        <v>165</v>
      </c>
      <c r="B64" s="192" t="s">
        <v>87</v>
      </c>
      <c r="C64" s="132">
        <v>43362</v>
      </c>
      <c r="D64" s="132">
        <v>43391</v>
      </c>
      <c r="E64" s="131">
        <v>696</v>
      </c>
      <c r="F64" s="133" t="s">
        <v>257</v>
      </c>
      <c r="G64" s="134">
        <v>0</v>
      </c>
      <c r="H64" s="168" t="s">
        <v>136</v>
      </c>
      <c r="I64" s="266">
        <v>318230</v>
      </c>
      <c r="J64" s="194"/>
      <c r="K64" s="267"/>
      <c r="L64" s="169"/>
      <c r="M64" s="268"/>
      <c r="N64" s="268"/>
      <c r="O64" s="268"/>
      <c r="P64" s="268"/>
    </row>
    <row r="65" spans="1:17" s="27" customFormat="1" ht="15" customHeight="1" x14ac:dyDescent="0.3">
      <c r="A65" s="37"/>
      <c r="B65" s="38"/>
      <c r="C65" s="40"/>
      <c r="D65" s="40"/>
      <c r="E65" s="232">
        <f>SUM(E9:E64)</f>
        <v>852032</v>
      </c>
      <c r="F65" s="232">
        <f>SUM(E9:E59)</f>
        <v>851336</v>
      </c>
      <c r="G65" s="233"/>
      <c r="H65" s="234"/>
      <c r="I65" s="270"/>
      <c r="J65" s="33"/>
      <c r="K65" s="33"/>
      <c r="L65" s="236"/>
      <c r="M65" s="237"/>
      <c r="N65" s="237"/>
      <c r="O65" s="237"/>
      <c r="P65" s="208"/>
    </row>
    <row r="66" spans="1:17" s="27" customFormat="1" ht="15" customHeight="1" x14ac:dyDescent="0.3">
      <c r="A66" s="365"/>
      <c r="B66" s="365"/>
      <c r="C66" s="365"/>
      <c r="D66" s="365"/>
      <c r="E66" s="238"/>
      <c r="F66" s="208"/>
      <c r="G66" s="366" t="s">
        <v>200</v>
      </c>
      <c r="H66" s="366"/>
      <c r="I66" s="271">
        <f>SUM(I9:I59)</f>
        <v>344546070</v>
      </c>
      <c r="J66" s="33"/>
      <c r="K66" s="33"/>
      <c r="L66" s="208"/>
      <c r="M66" s="208"/>
      <c r="N66" s="208"/>
      <c r="O66" s="208"/>
      <c r="P66" s="208"/>
      <c r="Q66" s="208"/>
    </row>
    <row r="67" spans="1:17" s="27" customFormat="1" ht="15" customHeight="1" x14ac:dyDescent="0.3">
      <c r="A67" s="365"/>
      <c r="B67" s="365"/>
      <c r="C67" s="365"/>
      <c r="D67" s="365"/>
      <c r="E67" s="238"/>
      <c r="F67" s="208"/>
      <c r="G67" s="366" t="s">
        <v>201</v>
      </c>
      <c r="H67" s="366"/>
      <c r="I67" s="271">
        <f>SUM(I62:I64)</f>
        <v>436730</v>
      </c>
      <c r="J67" s="33"/>
      <c r="K67" s="33"/>
      <c r="L67" s="208"/>
      <c r="M67" s="208"/>
      <c r="N67" s="208"/>
      <c r="O67" s="208"/>
      <c r="P67" s="208"/>
      <c r="Q67" s="208"/>
    </row>
    <row r="68" spans="1:17" s="27" customFormat="1" ht="15" customHeight="1" x14ac:dyDescent="0.3">
      <c r="A68" s="365"/>
      <c r="B68" s="365"/>
      <c r="C68" s="365"/>
      <c r="D68" s="365"/>
      <c r="E68" s="238"/>
      <c r="F68" s="240"/>
      <c r="G68" s="240"/>
      <c r="H68" s="240"/>
      <c r="I68" s="271"/>
      <c r="J68" s="33"/>
      <c r="K68" s="33"/>
      <c r="L68" s="208"/>
      <c r="M68" s="208"/>
      <c r="N68" s="208"/>
      <c r="O68" s="208"/>
      <c r="P68" s="208"/>
      <c r="Q68" s="208"/>
    </row>
    <row r="69" spans="1:17" s="27" customFormat="1" ht="15" customHeight="1" x14ac:dyDescent="0.3">
      <c r="A69" s="365"/>
      <c r="B69" s="365"/>
      <c r="C69" s="365"/>
      <c r="D69" s="365"/>
      <c r="E69" s="238"/>
      <c r="F69" s="208"/>
      <c r="G69" s="367" t="s">
        <v>203</v>
      </c>
      <c r="H69" s="367"/>
      <c r="I69" s="272">
        <f>SUM(I66:I67)</f>
        <v>344982800</v>
      </c>
      <c r="J69" s="33"/>
      <c r="K69" s="33"/>
      <c r="L69" s="208"/>
      <c r="M69" s="208"/>
      <c r="N69" s="208"/>
      <c r="O69" s="208"/>
      <c r="P69" s="208"/>
      <c r="Q69" s="208"/>
    </row>
    <row r="70" spans="1:17" s="27" customFormat="1" ht="15" customHeight="1" x14ac:dyDescent="0.3">
      <c r="A70" s="208"/>
      <c r="B70" s="243"/>
      <c r="C70" s="243"/>
      <c r="D70" s="33"/>
      <c r="E70" s="244"/>
      <c r="F70" s="208"/>
      <c r="G70" s="208"/>
      <c r="H70" s="208"/>
      <c r="I70" s="208"/>
      <c r="J70" s="33"/>
      <c r="K70" s="33"/>
      <c r="L70" s="208"/>
      <c r="M70" s="208"/>
      <c r="N70" s="208"/>
      <c r="O70" s="208"/>
      <c r="P70" s="208"/>
      <c r="Q70" s="208"/>
    </row>
    <row r="71" spans="1:17" s="27" customFormat="1" ht="15" customHeight="1" x14ac:dyDescent="0.3">
      <c r="A71" s="208"/>
      <c r="B71" s="243"/>
      <c r="C71" s="244"/>
      <c r="D71" s="244"/>
      <c r="E71" s="245"/>
      <c r="F71" s="208"/>
      <c r="G71" s="356" t="s">
        <v>244</v>
      </c>
      <c r="H71" s="356"/>
      <c r="I71" s="356"/>
      <c r="J71" s="33"/>
      <c r="K71" s="33"/>
      <c r="L71" s="208"/>
      <c r="M71" s="208"/>
      <c r="N71" s="208"/>
      <c r="O71" s="208"/>
      <c r="P71" s="208"/>
      <c r="Q71" s="208"/>
    </row>
    <row r="72" spans="1:17" s="27" customFormat="1" ht="14.25" x14ac:dyDescent="0.3">
      <c r="A72" s="208"/>
      <c r="B72" s="208"/>
      <c r="C72" s="244"/>
      <c r="D72" s="244"/>
      <c r="E72" s="246"/>
      <c r="F72" s="246"/>
      <c r="G72" s="208"/>
      <c r="H72" s="208"/>
      <c r="I72" s="208"/>
      <c r="J72" s="33"/>
      <c r="K72" s="33"/>
      <c r="L72" s="208"/>
      <c r="M72" s="208"/>
      <c r="N72" s="208"/>
      <c r="O72" s="208"/>
      <c r="P72" s="208"/>
      <c r="Q72" s="208"/>
    </row>
    <row r="73" spans="1:17" s="27" customFormat="1" ht="14.25" x14ac:dyDescent="0.3">
      <c r="A73" s="208" t="s">
        <v>185</v>
      </c>
      <c r="B73" s="243"/>
      <c r="C73" s="247"/>
      <c r="D73" s="247"/>
      <c r="E73" s="247"/>
      <c r="F73" s="247"/>
      <c r="G73" s="368" t="s">
        <v>245</v>
      </c>
      <c r="H73" s="368"/>
      <c r="I73" s="248">
        <f>+[1]JULIO!J71</f>
        <v>345372006</v>
      </c>
      <c r="J73" s="33"/>
      <c r="K73" s="33"/>
      <c r="L73" s="208"/>
      <c r="M73" s="208"/>
      <c r="N73" s="208"/>
      <c r="O73" s="208"/>
      <c r="P73" s="208"/>
      <c r="Q73" s="208"/>
    </row>
    <row r="74" spans="1:17" s="27" customFormat="1" ht="15.75" x14ac:dyDescent="0.3">
      <c r="A74" s="249" t="s">
        <v>252</v>
      </c>
      <c r="B74" s="247"/>
      <c r="C74" s="247"/>
      <c r="D74" s="247"/>
      <c r="E74" s="247"/>
      <c r="F74" s="247"/>
      <c r="G74" s="369" t="s">
        <v>246</v>
      </c>
      <c r="H74" s="369"/>
      <c r="I74" s="250">
        <f>+(I69-I73)/I73</f>
        <v>-1.1269182019344093E-3</v>
      </c>
      <c r="J74" s="33"/>
      <c r="K74" s="33"/>
      <c r="L74" s="208"/>
      <c r="M74" s="208"/>
      <c r="N74" s="208"/>
      <c r="O74" s="208"/>
      <c r="P74" s="208"/>
      <c r="Q74" s="208"/>
    </row>
    <row r="75" spans="1:17" s="27" customFormat="1" ht="14.25" x14ac:dyDescent="0.3">
      <c r="A75" s="251" t="s">
        <v>187</v>
      </c>
      <c r="B75" s="247"/>
      <c r="C75" s="208"/>
      <c r="D75" s="208"/>
      <c r="E75" s="208"/>
      <c r="F75" s="208"/>
      <c r="G75" s="370" t="s">
        <v>247</v>
      </c>
      <c r="H75" s="370"/>
      <c r="I75" s="253">
        <f>+I69-I73</f>
        <v>-389206</v>
      </c>
      <c r="J75" s="33"/>
      <c r="K75" s="33"/>
      <c r="L75" s="208"/>
      <c r="M75" s="208"/>
      <c r="N75" s="208"/>
      <c r="O75" s="208"/>
      <c r="P75" s="208"/>
      <c r="Q75" s="208"/>
    </row>
    <row r="76" spans="1:17" x14ac:dyDescent="0.25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</row>
  </sheetData>
  <mergeCells count="33">
    <mergeCell ref="G71:I71"/>
    <mergeCell ref="G73:H73"/>
    <mergeCell ref="G74:H74"/>
    <mergeCell ref="G75:H75"/>
    <mergeCell ref="I60:I61"/>
    <mergeCell ref="J60:J61"/>
    <mergeCell ref="K60:K61"/>
    <mergeCell ref="A66:D69"/>
    <mergeCell ref="G66:H66"/>
    <mergeCell ref="G67:H67"/>
    <mergeCell ref="G69:H69"/>
    <mergeCell ref="I7:I8"/>
    <mergeCell ref="J7:J8"/>
    <mergeCell ref="K7:K8"/>
    <mergeCell ref="L7:L8"/>
    <mergeCell ref="A60:A61"/>
    <mergeCell ref="B60:B61"/>
    <mergeCell ref="C60:D60"/>
    <mergeCell ref="G60:G61"/>
    <mergeCell ref="H60:H61"/>
    <mergeCell ref="A7:A8"/>
    <mergeCell ref="B7:B8"/>
    <mergeCell ref="C7:D7"/>
    <mergeCell ref="G7:G8"/>
    <mergeCell ref="H7:H8"/>
    <mergeCell ref="A1:I2"/>
    <mergeCell ref="C3:D3"/>
    <mergeCell ref="F3:I3"/>
    <mergeCell ref="C4:D4"/>
    <mergeCell ref="E4:E5"/>
    <mergeCell ref="G4:I4"/>
    <mergeCell ref="C5:D5"/>
    <mergeCell ref="G5:I5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Q76"/>
  <sheetViews>
    <sheetView workbookViewId="0">
      <selection activeCell="D30" sqref="D30"/>
    </sheetView>
  </sheetViews>
  <sheetFormatPr baseColWidth="10" defaultRowHeight="15" x14ac:dyDescent="0.25"/>
  <cols>
    <col min="1" max="1" width="36.42578125" customWidth="1"/>
    <col min="2" max="2" width="26.85546875" customWidth="1"/>
    <col min="5" max="5" width="12.5703125" customWidth="1"/>
    <col min="9" max="9" width="20" customWidth="1"/>
    <col min="10" max="10" width="15.140625" customWidth="1"/>
    <col min="11" max="11" width="48.140625" customWidth="1"/>
    <col min="12" max="12" width="26.140625" customWidth="1"/>
  </cols>
  <sheetData>
    <row r="2" spans="1:16" s="28" customFormat="1" ht="14.25" x14ac:dyDescent="0.3">
      <c r="A2" s="308" t="s">
        <v>118</v>
      </c>
      <c r="B2" s="308"/>
      <c r="C2" s="308"/>
      <c r="D2" s="308"/>
      <c r="E2" s="308"/>
      <c r="F2" s="308"/>
      <c r="G2" s="308"/>
      <c r="H2" s="308"/>
      <c r="I2" s="308"/>
      <c r="J2" s="71"/>
      <c r="K2" s="71"/>
      <c r="L2" s="208"/>
      <c r="M2" s="208"/>
      <c r="N2" s="208"/>
      <c r="O2" s="209"/>
      <c r="P2" s="209"/>
    </row>
    <row r="3" spans="1:16" s="27" customFormat="1" ht="14.25" x14ac:dyDescent="0.3">
      <c r="A3" s="308"/>
      <c r="B3" s="308"/>
      <c r="C3" s="308"/>
      <c r="D3" s="308"/>
      <c r="E3" s="308"/>
      <c r="F3" s="308"/>
      <c r="G3" s="308"/>
      <c r="H3" s="308"/>
      <c r="I3" s="308"/>
      <c r="J3" s="71"/>
      <c r="K3" s="138"/>
      <c r="L3" s="208"/>
      <c r="M3" s="208"/>
      <c r="N3" s="208"/>
      <c r="O3" s="208"/>
      <c r="P3" s="208"/>
    </row>
    <row r="4" spans="1:16" s="27" customFormat="1" ht="14.25" x14ac:dyDescent="0.3">
      <c r="C4" s="332" t="s">
        <v>204</v>
      </c>
      <c r="D4" s="332"/>
      <c r="E4" s="87" t="s">
        <v>121</v>
      </c>
      <c r="F4" s="333" t="s">
        <v>263</v>
      </c>
      <c r="G4" s="334"/>
      <c r="H4" s="334"/>
      <c r="I4" s="335"/>
      <c r="J4" s="71"/>
      <c r="K4" s="71"/>
      <c r="L4" s="208"/>
      <c r="M4" s="208"/>
      <c r="N4" s="208"/>
      <c r="O4" s="208"/>
      <c r="P4" s="208"/>
    </row>
    <row r="5" spans="1:16" s="27" customFormat="1" ht="14.25" x14ac:dyDescent="0.3">
      <c r="C5" s="336" t="s">
        <v>264</v>
      </c>
      <c r="D5" s="336"/>
      <c r="E5" s="326" t="s">
        <v>125</v>
      </c>
      <c r="F5" s="87" t="s">
        <v>190</v>
      </c>
      <c r="G5" s="332" t="s">
        <v>239</v>
      </c>
      <c r="H5" s="332"/>
      <c r="I5" s="332"/>
      <c r="J5" s="71"/>
      <c r="K5" s="71"/>
      <c r="L5" s="208"/>
      <c r="M5" s="208"/>
      <c r="N5" s="208"/>
      <c r="O5" s="208"/>
      <c r="P5" s="208"/>
    </row>
    <row r="6" spans="1:16" s="27" customFormat="1" ht="14.25" x14ac:dyDescent="0.3">
      <c r="C6" s="337" t="s">
        <v>208</v>
      </c>
      <c r="D6" s="338"/>
      <c r="E6" s="326"/>
      <c r="F6" s="108" t="s">
        <v>192</v>
      </c>
      <c r="G6" s="345" t="s">
        <v>250</v>
      </c>
      <c r="H6" s="339"/>
      <c r="I6" s="339"/>
      <c r="J6" s="71"/>
      <c r="K6" s="71"/>
      <c r="L6" s="208"/>
      <c r="M6" s="208"/>
      <c r="N6" s="208"/>
      <c r="O6" s="208"/>
      <c r="P6" s="208"/>
    </row>
    <row r="7" spans="1:16" s="27" customFormat="1" ht="14.25" x14ac:dyDescent="0.3">
      <c r="B7" s="34"/>
      <c r="C7" s="34"/>
      <c r="D7" s="35"/>
      <c r="G7" s="71"/>
      <c r="H7" s="34"/>
      <c r="I7" s="26"/>
      <c r="J7" s="71"/>
      <c r="K7" s="71"/>
      <c r="L7" s="208"/>
      <c r="M7" s="208"/>
      <c r="N7" s="208"/>
      <c r="O7" s="208"/>
      <c r="P7" s="208"/>
    </row>
    <row r="8" spans="1:16" s="28" customFormat="1" ht="15" customHeight="1" x14ac:dyDescent="0.3">
      <c r="A8" s="356" t="s">
        <v>225</v>
      </c>
      <c r="B8" s="356" t="s">
        <v>226</v>
      </c>
      <c r="C8" s="356" t="s">
        <v>6</v>
      </c>
      <c r="D8" s="356"/>
      <c r="E8" s="150" t="s">
        <v>7</v>
      </c>
      <c r="F8" s="150" t="s">
        <v>132</v>
      </c>
      <c r="G8" s="356" t="s">
        <v>243</v>
      </c>
      <c r="H8" s="356" t="s">
        <v>134</v>
      </c>
      <c r="I8" s="353" t="s">
        <v>11</v>
      </c>
      <c r="J8" s="354"/>
      <c r="K8" s="363"/>
      <c r="L8" s="364"/>
      <c r="M8" s="208"/>
      <c r="N8" s="208"/>
      <c r="O8" s="209"/>
      <c r="P8" s="209"/>
    </row>
    <row r="9" spans="1:16" s="28" customFormat="1" ht="14.25" x14ac:dyDescent="0.3">
      <c r="A9" s="356"/>
      <c r="B9" s="356"/>
      <c r="C9" s="150" t="s">
        <v>15</v>
      </c>
      <c r="D9" s="150" t="s">
        <v>16</v>
      </c>
      <c r="E9" s="150" t="s">
        <v>17</v>
      </c>
      <c r="F9" s="150" t="s">
        <v>17</v>
      </c>
      <c r="G9" s="356"/>
      <c r="H9" s="356"/>
      <c r="I9" s="353"/>
      <c r="J9" s="354"/>
      <c r="K9" s="363"/>
      <c r="L9" s="364"/>
      <c r="M9" s="208"/>
      <c r="N9" s="208"/>
      <c r="O9" s="209"/>
      <c r="P9" s="209"/>
    </row>
    <row r="10" spans="1:16" s="217" customFormat="1" ht="14.25" x14ac:dyDescent="0.3">
      <c r="A10" s="178" t="s">
        <v>18</v>
      </c>
      <c r="B10" s="179" t="s">
        <v>19</v>
      </c>
      <c r="C10" s="181">
        <v>43388</v>
      </c>
      <c r="D10" s="181">
        <v>43417</v>
      </c>
      <c r="E10" s="180">
        <v>89760</v>
      </c>
      <c r="F10" s="182">
        <v>360.98</v>
      </c>
      <c r="G10" s="185">
        <v>0</v>
      </c>
      <c r="H10" s="183" t="s">
        <v>135</v>
      </c>
      <c r="I10" s="214">
        <v>35980560</v>
      </c>
      <c r="J10" s="196"/>
      <c r="K10" s="215"/>
      <c r="L10" s="196"/>
      <c r="M10" s="216"/>
      <c r="N10" s="216"/>
      <c r="O10" s="216"/>
      <c r="P10" s="216"/>
    </row>
    <row r="11" spans="1:16" s="217" customFormat="1" ht="14.25" x14ac:dyDescent="0.3">
      <c r="A11" s="257" t="s">
        <v>20</v>
      </c>
      <c r="B11" s="258" t="s">
        <v>19</v>
      </c>
      <c r="C11" s="181">
        <v>43392</v>
      </c>
      <c r="D11" s="181">
        <v>43424</v>
      </c>
      <c r="E11" s="180">
        <v>2296</v>
      </c>
      <c r="F11" s="182">
        <v>466.14</v>
      </c>
      <c r="G11" s="185">
        <v>0</v>
      </c>
      <c r="H11" s="181" t="s">
        <v>135</v>
      </c>
      <c r="I11" s="214">
        <v>1080060</v>
      </c>
      <c r="J11" s="196"/>
      <c r="K11" s="215"/>
      <c r="L11" s="256"/>
      <c r="M11" s="216"/>
      <c r="N11" s="216"/>
      <c r="O11" s="216"/>
      <c r="P11" s="216"/>
    </row>
    <row r="12" spans="1:16" s="217" customFormat="1" ht="14.25" x14ac:dyDescent="0.3">
      <c r="A12" s="178" t="s">
        <v>21</v>
      </c>
      <c r="B12" s="179" t="s">
        <v>19</v>
      </c>
      <c r="C12" s="181">
        <v>43388</v>
      </c>
      <c r="D12" s="181">
        <v>43417</v>
      </c>
      <c r="E12" s="180">
        <v>0</v>
      </c>
      <c r="F12" s="182">
        <v>0</v>
      </c>
      <c r="G12" s="213">
        <v>0</v>
      </c>
      <c r="H12" s="183" t="s">
        <v>135</v>
      </c>
      <c r="I12" s="214">
        <v>0</v>
      </c>
      <c r="J12" s="188"/>
      <c r="K12" s="215"/>
      <c r="L12" s="188"/>
      <c r="M12" s="216"/>
      <c r="N12" s="216"/>
      <c r="O12" s="216"/>
      <c r="P12" s="216"/>
    </row>
    <row r="13" spans="1:16" s="217" customFormat="1" ht="14.25" x14ac:dyDescent="0.3">
      <c r="A13" s="178" t="s">
        <v>22</v>
      </c>
      <c r="B13" s="179" t="s">
        <v>19</v>
      </c>
      <c r="C13" s="181">
        <v>43388</v>
      </c>
      <c r="D13" s="181">
        <v>43417</v>
      </c>
      <c r="E13" s="180">
        <v>0</v>
      </c>
      <c r="F13" s="182">
        <v>0</v>
      </c>
      <c r="G13" s="185">
        <v>0</v>
      </c>
      <c r="H13" s="181" t="s">
        <v>135</v>
      </c>
      <c r="I13" s="214">
        <v>0</v>
      </c>
      <c r="J13" s="188"/>
      <c r="K13" s="215"/>
      <c r="L13" s="142"/>
      <c r="M13" s="216"/>
      <c r="N13" s="216"/>
      <c r="O13" s="216"/>
      <c r="P13" s="216"/>
    </row>
    <row r="14" spans="1:16" s="217" customFormat="1" ht="14.25" x14ac:dyDescent="0.3">
      <c r="A14" s="178" t="s">
        <v>23</v>
      </c>
      <c r="B14" s="179" t="s">
        <v>24</v>
      </c>
      <c r="C14" s="181">
        <v>43393</v>
      </c>
      <c r="D14" s="181">
        <v>43425</v>
      </c>
      <c r="E14" s="180">
        <v>13120</v>
      </c>
      <c r="F14" s="182">
        <v>432.2</v>
      </c>
      <c r="G14" s="185">
        <v>0</v>
      </c>
      <c r="H14" s="183" t="s">
        <v>135</v>
      </c>
      <c r="I14" s="214">
        <v>5734900</v>
      </c>
      <c r="J14" s="142"/>
      <c r="K14" s="215"/>
      <c r="L14" s="256"/>
      <c r="M14" s="216"/>
      <c r="N14" s="216"/>
      <c r="O14" s="216"/>
      <c r="P14" s="216"/>
    </row>
    <row r="15" spans="1:16" s="217" customFormat="1" ht="14.25" x14ac:dyDescent="0.3">
      <c r="A15" s="178" t="s">
        <v>25</v>
      </c>
      <c r="B15" s="179" t="s">
        <v>24</v>
      </c>
      <c r="C15" s="181">
        <v>43393</v>
      </c>
      <c r="D15" s="181">
        <v>43425</v>
      </c>
      <c r="E15" s="180">
        <v>16800</v>
      </c>
      <c r="F15" s="182">
        <v>432.2</v>
      </c>
      <c r="G15" s="185">
        <v>0</v>
      </c>
      <c r="H15" s="183" t="s">
        <v>135</v>
      </c>
      <c r="I15" s="214">
        <v>7989940</v>
      </c>
      <c r="J15" s="196"/>
      <c r="K15" s="215"/>
      <c r="L15" s="196"/>
      <c r="M15" s="216"/>
      <c r="N15" s="216"/>
      <c r="O15" s="216"/>
      <c r="P15" s="216"/>
    </row>
    <row r="16" spans="1:16" s="217" customFormat="1" ht="14.25" x14ac:dyDescent="0.3">
      <c r="A16" s="178" t="s">
        <v>26</v>
      </c>
      <c r="B16" s="179" t="s">
        <v>24</v>
      </c>
      <c r="C16" s="181">
        <v>43393</v>
      </c>
      <c r="D16" s="181">
        <v>43425</v>
      </c>
      <c r="E16" s="180">
        <v>6016</v>
      </c>
      <c r="F16" s="182">
        <v>466.14</v>
      </c>
      <c r="G16" s="185">
        <v>0</v>
      </c>
      <c r="H16" s="183" t="s">
        <v>135</v>
      </c>
      <c r="I16" s="214">
        <v>2839000</v>
      </c>
      <c r="J16" s="196"/>
      <c r="K16" s="215"/>
      <c r="L16" s="220"/>
      <c r="M16" s="216"/>
      <c r="N16" s="216"/>
      <c r="O16" s="216"/>
      <c r="P16" s="216"/>
    </row>
    <row r="17" spans="1:16" s="217" customFormat="1" ht="14.25" x14ac:dyDescent="0.3">
      <c r="A17" s="178" t="s">
        <v>27</v>
      </c>
      <c r="B17" s="179" t="s">
        <v>24</v>
      </c>
      <c r="C17" s="181">
        <v>43393</v>
      </c>
      <c r="D17" s="181">
        <v>43425</v>
      </c>
      <c r="E17" s="180">
        <v>0</v>
      </c>
      <c r="F17" s="182">
        <v>0</v>
      </c>
      <c r="G17" s="185">
        <v>0</v>
      </c>
      <c r="H17" s="183" t="s">
        <v>136</v>
      </c>
      <c r="I17" s="214">
        <v>7300</v>
      </c>
      <c r="J17" s="196"/>
      <c r="K17" s="215"/>
      <c r="L17" s="220"/>
      <c r="M17" s="216"/>
      <c r="N17" s="216"/>
      <c r="O17" s="216"/>
      <c r="P17" s="216"/>
    </row>
    <row r="18" spans="1:16" s="217" customFormat="1" ht="14.25" x14ac:dyDescent="0.3">
      <c r="A18" s="178" t="s">
        <v>28</v>
      </c>
      <c r="B18" s="179" t="s">
        <v>24</v>
      </c>
      <c r="C18" s="181">
        <v>43393</v>
      </c>
      <c r="D18" s="181">
        <v>43425</v>
      </c>
      <c r="E18" s="180">
        <v>4176</v>
      </c>
      <c r="F18" s="182">
        <v>432.2</v>
      </c>
      <c r="G18" s="185">
        <v>0</v>
      </c>
      <c r="H18" s="183" t="s">
        <v>135</v>
      </c>
      <c r="I18" s="224">
        <v>1824580</v>
      </c>
      <c r="J18" s="196"/>
      <c r="K18" s="215"/>
      <c r="L18" s="142"/>
      <c r="M18" s="216"/>
      <c r="N18" s="216"/>
      <c r="O18" s="216"/>
      <c r="P18" s="216"/>
    </row>
    <row r="19" spans="1:16" s="217" customFormat="1" ht="14.25" x14ac:dyDescent="0.3">
      <c r="A19" s="178" t="s">
        <v>29</v>
      </c>
      <c r="B19" s="179" t="s">
        <v>24</v>
      </c>
      <c r="C19" s="181">
        <v>43393</v>
      </c>
      <c r="D19" s="181">
        <v>43425</v>
      </c>
      <c r="E19" s="180">
        <v>12000</v>
      </c>
      <c r="F19" s="182">
        <v>432.2</v>
      </c>
      <c r="G19" s="185">
        <v>0</v>
      </c>
      <c r="H19" s="262" t="s">
        <v>135</v>
      </c>
      <c r="I19" s="214">
        <v>5243750</v>
      </c>
      <c r="J19" s="196"/>
      <c r="K19" s="215"/>
      <c r="L19" s="142"/>
      <c r="M19" s="216"/>
      <c r="N19" s="216"/>
      <c r="O19" s="216"/>
      <c r="P19" s="216"/>
    </row>
    <row r="20" spans="1:16" s="217" customFormat="1" ht="14.25" x14ac:dyDescent="0.3">
      <c r="A20" s="178" t="s">
        <v>137</v>
      </c>
      <c r="B20" s="187" t="s">
        <v>31</v>
      </c>
      <c r="C20" s="181">
        <v>43397</v>
      </c>
      <c r="D20" s="181">
        <v>43427</v>
      </c>
      <c r="E20" s="180">
        <v>40480</v>
      </c>
      <c r="F20" s="182">
        <v>360.77</v>
      </c>
      <c r="G20" s="185">
        <v>0</v>
      </c>
      <c r="H20" s="183" t="s">
        <v>135</v>
      </c>
      <c r="I20" s="214">
        <v>16529340</v>
      </c>
      <c r="J20" s="196"/>
      <c r="K20" s="215"/>
      <c r="L20" s="220"/>
      <c r="M20" s="216"/>
      <c r="N20" s="216"/>
      <c r="O20" s="216"/>
      <c r="P20" s="216"/>
    </row>
    <row r="21" spans="1:16" s="217" customFormat="1" ht="14.25" x14ac:dyDescent="0.3">
      <c r="A21" s="178" t="s">
        <v>138</v>
      </c>
      <c r="B21" s="179" t="s">
        <v>33</v>
      </c>
      <c r="C21" s="181">
        <v>43361</v>
      </c>
      <c r="D21" s="181">
        <v>43393</v>
      </c>
      <c r="E21" s="180">
        <v>64477</v>
      </c>
      <c r="F21" s="182">
        <v>353.75</v>
      </c>
      <c r="G21" s="185">
        <v>0</v>
      </c>
      <c r="H21" s="183" t="s">
        <v>135</v>
      </c>
      <c r="I21" s="214">
        <v>25759620</v>
      </c>
      <c r="J21" s="142"/>
      <c r="K21" s="215"/>
      <c r="L21" s="196"/>
      <c r="M21" s="216"/>
      <c r="N21" s="216"/>
      <c r="O21" s="216"/>
      <c r="P21" s="216"/>
    </row>
    <row r="22" spans="1:16" s="217" customFormat="1" ht="14.25" x14ac:dyDescent="0.3">
      <c r="A22" s="178" t="s">
        <v>139</v>
      </c>
      <c r="B22" s="179" t="s">
        <v>35</v>
      </c>
      <c r="C22" s="181">
        <v>43392</v>
      </c>
      <c r="D22" s="181">
        <v>43425</v>
      </c>
      <c r="E22" s="180">
        <v>44440</v>
      </c>
      <c r="F22" s="182">
        <v>360.98</v>
      </c>
      <c r="G22" s="185">
        <v>0</v>
      </c>
      <c r="H22" s="183" t="s">
        <v>135</v>
      </c>
      <c r="I22" s="214">
        <v>17839440</v>
      </c>
      <c r="J22" s="220"/>
      <c r="K22" s="215"/>
      <c r="L22" s="196"/>
      <c r="M22" s="216"/>
      <c r="N22" s="216"/>
      <c r="O22" s="216"/>
      <c r="P22" s="216"/>
    </row>
    <row r="23" spans="1:16" s="217" customFormat="1" ht="14.25" x14ac:dyDescent="0.3">
      <c r="A23" s="178" t="s">
        <v>140</v>
      </c>
      <c r="B23" s="179" t="s">
        <v>37</v>
      </c>
      <c r="C23" s="181">
        <v>43389</v>
      </c>
      <c r="D23" s="181">
        <v>43420</v>
      </c>
      <c r="E23" s="180">
        <v>51150</v>
      </c>
      <c r="F23" s="182">
        <v>360.77</v>
      </c>
      <c r="G23" s="185">
        <v>0</v>
      </c>
      <c r="H23" s="183" t="s">
        <v>135</v>
      </c>
      <c r="I23" s="214">
        <v>23011060</v>
      </c>
      <c r="J23" s="142"/>
      <c r="K23" s="215"/>
      <c r="L23" s="196"/>
      <c r="M23" s="216"/>
      <c r="N23" s="216"/>
      <c r="O23" s="216"/>
      <c r="P23" s="216"/>
    </row>
    <row r="24" spans="1:16" s="290" customFormat="1" ht="14.25" x14ac:dyDescent="0.3">
      <c r="A24" s="278" t="s">
        <v>141</v>
      </c>
      <c r="B24" s="279" t="s">
        <v>39</v>
      </c>
      <c r="C24" s="281">
        <v>43365</v>
      </c>
      <c r="D24" s="281">
        <v>43396</v>
      </c>
      <c r="E24" s="280">
        <v>79200</v>
      </c>
      <c r="F24" s="282">
        <v>357.77</v>
      </c>
      <c r="G24" s="283">
        <v>0</v>
      </c>
      <c r="H24" s="284" t="s">
        <v>135</v>
      </c>
      <c r="I24" s="293">
        <v>31459390</v>
      </c>
      <c r="J24" s="294"/>
      <c r="K24" s="287"/>
      <c r="L24" s="286"/>
      <c r="M24" s="289"/>
      <c r="N24" s="289"/>
      <c r="O24" s="289"/>
      <c r="P24" s="289"/>
    </row>
    <row r="25" spans="1:16" s="217" customFormat="1" ht="14.25" x14ac:dyDescent="0.3">
      <c r="A25" s="178" t="s">
        <v>142</v>
      </c>
      <c r="B25" s="179" t="s">
        <v>41</v>
      </c>
      <c r="C25" s="181">
        <v>43393</v>
      </c>
      <c r="D25" s="181">
        <v>43425</v>
      </c>
      <c r="E25" s="180">
        <v>191400</v>
      </c>
      <c r="F25" s="182">
        <v>360.98</v>
      </c>
      <c r="G25" s="185">
        <v>0</v>
      </c>
      <c r="H25" s="183" t="s">
        <v>135</v>
      </c>
      <c r="I25" s="214">
        <v>76743760</v>
      </c>
      <c r="J25" s="196"/>
      <c r="K25" s="215"/>
      <c r="L25" s="196"/>
      <c r="M25" s="216"/>
      <c r="N25" s="216"/>
      <c r="O25" s="216"/>
      <c r="P25" s="216"/>
    </row>
    <row r="26" spans="1:16" s="217" customFormat="1" ht="14.25" x14ac:dyDescent="0.3">
      <c r="A26" s="178" t="s">
        <v>143</v>
      </c>
      <c r="B26" s="179" t="s">
        <v>43</v>
      </c>
      <c r="C26" s="181">
        <v>43396</v>
      </c>
      <c r="D26" s="181">
        <v>43427</v>
      </c>
      <c r="E26" s="180">
        <v>32120</v>
      </c>
      <c r="F26" s="182">
        <v>360.98</v>
      </c>
      <c r="G26" s="185">
        <v>0</v>
      </c>
      <c r="H26" s="183" t="s">
        <v>135</v>
      </c>
      <c r="I26" s="214">
        <v>12939690</v>
      </c>
      <c r="J26" s="273"/>
      <c r="K26" s="215"/>
      <c r="L26" s="196"/>
      <c r="M26" s="216"/>
      <c r="N26" s="216"/>
      <c r="O26" s="216"/>
      <c r="P26" s="216"/>
    </row>
    <row r="27" spans="1:16" s="217" customFormat="1" ht="14.25" x14ac:dyDescent="0.3">
      <c r="A27" s="178" t="s">
        <v>144</v>
      </c>
      <c r="B27" s="179" t="s">
        <v>45</v>
      </c>
      <c r="C27" s="223">
        <v>43390</v>
      </c>
      <c r="D27" s="223">
        <v>43420</v>
      </c>
      <c r="E27" s="180">
        <v>39160</v>
      </c>
      <c r="F27" s="182">
        <v>360.98</v>
      </c>
      <c r="G27" s="185">
        <v>0</v>
      </c>
      <c r="H27" s="183" t="s">
        <v>135</v>
      </c>
      <c r="I27" s="224">
        <v>16606580</v>
      </c>
      <c r="J27" s="196"/>
      <c r="K27" s="215"/>
      <c r="L27" s="196"/>
      <c r="M27" s="225"/>
      <c r="N27" s="216"/>
      <c r="O27" s="216"/>
      <c r="P27" s="216"/>
    </row>
    <row r="28" spans="1:16" s="217" customFormat="1" ht="14.25" x14ac:dyDescent="0.3">
      <c r="A28" s="178" t="s">
        <v>145</v>
      </c>
      <c r="B28" s="179" t="s">
        <v>47</v>
      </c>
      <c r="C28" s="223">
        <v>43305</v>
      </c>
      <c r="D28" s="263">
        <v>43333</v>
      </c>
      <c r="E28" s="180">
        <v>0</v>
      </c>
      <c r="F28" s="182">
        <v>0</v>
      </c>
      <c r="G28" s="185">
        <v>0</v>
      </c>
      <c r="H28" s="183" t="s">
        <v>136</v>
      </c>
      <c r="I28" s="224"/>
      <c r="J28" s="188"/>
      <c r="K28" s="215"/>
      <c r="L28" s="188"/>
      <c r="M28" s="216"/>
      <c r="N28" s="216"/>
      <c r="O28" s="216"/>
      <c r="P28" s="216"/>
    </row>
    <row r="29" spans="1:16" s="217" customFormat="1" ht="14.25" x14ac:dyDescent="0.3">
      <c r="A29" s="178" t="s">
        <v>146</v>
      </c>
      <c r="B29" s="179" t="s">
        <v>49</v>
      </c>
      <c r="C29" s="181">
        <v>43390</v>
      </c>
      <c r="D29" s="181">
        <v>43421</v>
      </c>
      <c r="E29" s="180">
        <v>1733</v>
      </c>
      <c r="F29" s="182">
        <v>466.14</v>
      </c>
      <c r="G29" s="185">
        <v>0</v>
      </c>
      <c r="H29" s="183" t="s">
        <v>135</v>
      </c>
      <c r="I29" s="214">
        <v>813710</v>
      </c>
      <c r="J29" s="142"/>
      <c r="K29" s="215"/>
      <c r="L29" s="196"/>
      <c r="M29" s="216"/>
      <c r="N29" s="216"/>
      <c r="O29" s="216"/>
      <c r="P29" s="216"/>
    </row>
    <row r="30" spans="1:16" s="217" customFormat="1" ht="14.25" x14ac:dyDescent="0.3">
      <c r="A30" s="178" t="s">
        <v>147</v>
      </c>
      <c r="B30" s="179" t="s">
        <v>51</v>
      </c>
      <c r="C30" s="181">
        <v>43386</v>
      </c>
      <c r="D30" s="181">
        <v>43419</v>
      </c>
      <c r="E30" s="180">
        <v>383</v>
      </c>
      <c r="F30" s="182">
        <v>466.14</v>
      </c>
      <c r="G30" s="185">
        <v>0</v>
      </c>
      <c r="H30" s="183" t="s">
        <v>135</v>
      </c>
      <c r="I30" s="214">
        <v>180310</v>
      </c>
      <c r="J30" s="196"/>
      <c r="K30" s="215"/>
      <c r="L30" s="196"/>
      <c r="M30" s="216"/>
      <c r="N30" s="216"/>
      <c r="O30" s="216"/>
      <c r="P30" s="216"/>
    </row>
    <row r="31" spans="1:16" s="217" customFormat="1" ht="14.25" x14ac:dyDescent="0.3">
      <c r="A31" s="178" t="s">
        <v>148</v>
      </c>
      <c r="B31" s="179" t="s">
        <v>53</v>
      </c>
      <c r="C31" s="181">
        <v>43391</v>
      </c>
      <c r="D31" s="181">
        <v>43423</v>
      </c>
      <c r="E31" s="180">
        <v>5280</v>
      </c>
      <c r="F31" s="182">
        <v>466.14</v>
      </c>
      <c r="G31" s="185">
        <v>0</v>
      </c>
      <c r="H31" s="183" t="s">
        <v>135</v>
      </c>
      <c r="I31" s="214">
        <v>2485640</v>
      </c>
      <c r="J31" s="142"/>
      <c r="K31" s="215"/>
      <c r="L31" s="196"/>
      <c r="M31" s="216"/>
      <c r="N31" s="216"/>
      <c r="O31" s="216"/>
      <c r="P31" s="216"/>
    </row>
    <row r="32" spans="1:16" s="290" customFormat="1" ht="14.25" x14ac:dyDescent="0.3">
      <c r="A32" s="278" t="s">
        <v>151</v>
      </c>
      <c r="B32" s="279" t="s">
        <v>59</v>
      </c>
      <c r="C32" s="281">
        <v>43396</v>
      </c>
      <c r="D32" s="281">
        <v>43427</v>
      </c>
      <c r="E32" s="280">
        <v>5680</v>
      </c>
      <c r="F32" s="282">
        <v>466.14</v>
      </c>
      <c r="G32" s="283">
        <v>0</v>
      </c>
      <c r="H32" s="284" t="s">
        <v>135</v>
      </c>
      <c r="I32" s="293">
        <v>2676100</v>
      </c>
      <c r="J32" s="286"/>
      <c r="K32" s="287"/>
      <c r="L32" s="288"/>
      <c r="M32" s="289"/>
      <c r="N32" s="289"/>
      <c r="O32" s="289"/>
      <c r="P32" s="289"/>
    </row>
    <row r="33" spans="1:16" s="290" customFormat="1" ht="14.25" x14ac:dyDescent="0.3">
      <c r="A33" s="278" t="s">
        <v>152</v>
      </c>
      <c r="B33" s="279" t="s">
        <v>61</v>
      </c>
      <c r="C33" s="281">
        <v>43388</v>
      </c>
      <c r="D33" s="281">
        <v>43419</v>
      </c>
      <c r="E33" s="280">
        <v>21280</v>
      </c>
      <c r="F33" s="282">
        <v>466.14</v>
      </c>
      <c r="G33" s="283">
        <v>0</v>
      </c>
      <c r="H33" s="284" t="s">
        <v>135</v>
      </c>
      <c r="I33" s="293">
        <v>10024440</v>
      </c>
      <c r="J33" s="295"/>
      <c r="K33" s="287" t="s">
        <v>268</v>
      </c>
      <c r="L33" s="288"/>
      <c r="M33" s="289"/>
      <c r="N33" s="289"/>
      <c r="O33" s="289"/>
      <c r="P33" s="289"/>
    </row>
    <row r="34" spans="1:16" s="217" customFormat="1" ht="14.25" x14ac:dyDescent="0.3">
      <c r="A34" s="178" t="s">
        <v>153</v>
      </c>
      <c r="B34" s="187" t="s">
        <v>63</v>
      </c>
      <c r="C34" s="181">
        <v>43391</v>
      </c>
      <c r="D34" s="181">
        <v>43423</v>
      </c>
      <c r="E34" s="180">
        <v>7680</v>
      </c>
      <c r="F34" s="182">
        <v>432.2</v>
      </c>
      <c r="G34" s="185">
        <v>0</v>
      </c>
      <c r="H34" s="183" t="s">
        <v>135</v>
      </c>
      <c r="I34" s="214">
        <v>3351340</v>
      </c>
      <c r="J34" s="196"/>
      <c r="K34" s="215"/>
      <c r="L34" s="196"/>
      <c r="M34" s="216"/>
      <c r="N34" s="216"/>
      <c r="O34" s="216"/>
      <c r="P34" s="216"/>
    </row>
    <row r="35" spans="1:16" s="217" customFormat="1" ht="14.25" x14ac:dyDescent="0.3">
      <c r="A35" s="178" t="s">
        <v>154</v>
      </c>
      <c r="B35" s="179" t="s">
        <v>65</v>
      </c>
      <c r="C35" s="181">
        <v>43386</v>
      </c>
      <c r="D35" s="181">
        <v>43419</v>
      </c>
      <c r="E35" s="180">
        <v>2545</v>
      </c>
      <c r="F35" s="182">
        <v>466.14</v>
      </c>
      <c r="G35" s="185">
        <v>0</v>
      </c>
      <c r="H35" s="183" t="s">
        <v>135</v>
      </c>
      <c r="I35" s="214">
        <v>1195800</v>
      </c>
      <c r="J35" s="196"/>
      <c r="K35" s="215"/>
      <c r="L35" s="142"/>
      <c r="M35" s="216"/>
      <c r="N35" s="216"/>
      <c r="O35" s="216"/>
      <c r="P35" s="216"/>
    </row>
    <row r="36" spans="1:16" s="217" customFormat="1" ht="14.25" x14ac:dyDescent="0.3">
      <c r="A36" s="178" t="s">
        <v>155</v>
      </c>
      <c r="B36" s="179" t="s">
        <v>67</v>
      </c>
      <c r="C36" s="181">
        <v>43378</v>
      </c>
      <c r="D36" s="181">
        <v>43410</v>
      </c>
      <c r="E36" s="180">
        <v>1440</v>
      </c>
      <c r="F36" s="182">
        <v>466.14</v>
      </c>
      <c r="G36" s="185">
        <v>0</v>
      </c>
      <c r="H36" s="183" t="s">
        <v>135</v>
      </c>
      <c r="I36" s="214">
        <v>678430</v>
      </c>
      <c r="J36" s="196"/>
      <c r="K36" s="215"/>
      <c r="L36" s="142"/>
      <c r="M36" s="216"/>
      <c r="N36" s="216"/>
      <c r="O36" s="216"/>
      <c r="P36" s="216"/>
    </row>
    <row r="37" spans="1:16" s="217" customFormat="1" ht="14.25" x14ac:dyDescent="0.3">
      <c r="A37" s="178" t="s">
        <v>156</v>
      </c>
      <c r="B37" s="179" t="s">
        <v>69</v>
      </c>
      <c r="C37" s="181">
        <v>43391</v>
      </c>
      <c r="D37" s="181">
        <v>43423</v>
      </c>
      <c r="E37" s="180">
        <v>7840</v>
      </c>
      <c r="F37" s="182">
        <v>466.14</v>
      </c>
      <c r="G37" s="185">
        <v>0</v>
      </c>
      <c r="H37" s="183" t="s">
        <v>135</v>
      </c>
      <c r="I37" s="214">
        <v>3680680</v>
      </c>
      <c r="J37" s="196"/>
      <c r="K37" s="215"/>
      <c r="L37" s="220"/>
      <c r="M37" s="216"/>
      <c r="N37" s="216"/>
      <c r="O37" s="216"/>
      <c r="P37" s="216"/>
    </row>
    <row r="38" spans="1:16" s="217" customFormat="1" ht="14.25" x14ac:dyDescent="0.3">
      <c r="A38" s="178" t="s">
        <v>157</v>
      </c>
      <c r="B38" s="179" t="s">
        <v>71</v>
      </c>
      <c r="C38" s="181">
        <v>43386</v>
      </c>
      <c r="D38" s="181">
        <v>43419</v>
      </c>
      <c r="E38" s="180">
        <v>3600</v>
      </c>
      <c r="F38" s="182">
        <v>432.2</v>
      </c>
      <c r="G38" s="185">
        <v>0</v>
      </c>
      <c r="H38" s="183" t="s">
        <v>135</v>
      </c>
      <c r="I38" s="214">
        <v>1572120</v>
      </c>
      <c r="J38" s="196"/>
      <c r="K38" s="215"/>
      <c r="L38" s="188"/>
      <c r="M38" s="216" t="s">
        <v>265</v>
      </c>
      <c r="N38" s="216"/>
      <c r="O38" s="216"/>
      <c r="P38" s="216"/>
    </row>
    <row r="39" spans="1:16" s="217" customFormat="1" ht="14.25" x14ac:dyDescent="0.3">
      <c r="A39" s="178" t="s">
        <v>158</v>
      </c>
      <c r="B39" s="179" t="s">
        <v>73</v>
      </c>
      <c r="C39" s="181">
        <v>43392</v>
      </c>
      <c r="D39" s="181">
        <v>43424</v>
      </c>
      <c r="E39" s="180">
        <v>2274</v>
      </c>
      <c r="F39" s="182">
        <v>466.14</v>
      </c>
      <c r="G39" s="185">
        <v>0</v>
      </c>
      <c r="H39" s="183" t="s">
        <v>135</v>
      </c>
      <c r="I39" s="214">
        <v>1068920</v>
      </c>
      <c r="J39" s="196"/>
      <c r="K39" s="215"/>
      <c r="L39" s="220"/>
      <c r="M39" s="216"/>
      <c r="N39" s="216"/>
      <c r="O39" s="216"/>
      <c r="P39" s="216"/>
    </row>
    <row r="40" spans="1:16" s="217" customFormat="1" ht="14.25" x14ac:dyDescent="0.3">
      <c r="A40" s="178" t="s">
        <v>180</v>
      </c>
      <c r="B40" s="179" t="s">
        <v>116</v>
      </c>
      <c r="C40" s="181">
        <v>43389</v>
      </c>
      <c r="D40" s="181">
        <v>43420</v>
      </c>
      <c r="E40" s="180">
        <v>7120</v>
      </c>
      <c r="F40" s="182">
        <v>466.14</v>
      </c>
      <c r="G40" s="185">
        <v>0</v>
      </c>
      <c r="H40" s="183" t="s">
        <v>135</v>
      </c>
      <c r="I40" s="214">
        <v>3370680</v>
      </c>
      <c r="J40" s="142"/>
      <c r="K40" s="215"/>
      <c r="L40" s="196"/>
      <c r="M40" s="216"/>
      <c r="N40" s="216"/>
      <c r="O40" s="216"/>
      <c r="P40" s="216"/>
    </row>
    <row r="41" spans="1:16" s="290" customFormat="1" ht="14.25" x14ac:dyDescent="0.3">
      <c r="A41" s="278" t="s">
        <v>160</v>
      </c>
      <c r="B41" s="279" t="s">
        <v>77</v>
      </c>
      <c r="C41" s="281">
        <v>43396</v>
      </c>
      <c r="D41" s="281">
        <v>43427</v>
      </c>
      <c r="E41" s="280">
        <v>9900</v>
      </c>
      <c r="F41" s="282">
        <v>466.14</v>
      </c>
      <c r="G41" s="283">
        <v>0</v>
      </c>
      <c r="H41" s="284" t="s">
        <v>135</v>
      </c>
      <c r="I41" s="285">
        <v>4654430</v>
      </c>
      <c r="J41" s="286"/>
      <c r="K41" s="287" t="s">
        <v>269</v>
      </c>
      <c r="L41" s="288"/>
      <c r="M41" s="289"/>
      <c r="N41" s="289"/>
      <c r="O41" s="289"/>
      <c r="P41" s="289"/>
    </row>
    <row r="42" spans="1:16" s="217" customFormat="1" ht="14.25" x14ac:dyDescent="0.3">
      <c r="A42" s="178" t="s">
        <v>161</v>
      </c>
      <c r="B42" s="179" t="s">
        <v>79</v>
      </c>
      <c r="C42" s="181">
        <v>43389</v>
      </c>
      <c r="D42" s="181">
        <v>43420</v>
      </c>
      <c r="E42" s="180">
        <v>7200</v>
      </c>
      <c r="F42" s="182">
        <v>432.2</v>
      </c>
      <c r="G42" s="185">
        <v>0</v>
      </c>
      <c r="H42" s="183" t="s">
        <v>135</v>
      </c>
      <c r="I42" s="214">
        <v>3142200</v>
      </c>
      <c r="J42" s="196"/>
      <c r="K42" s="215"/>
      <c r="L42" s="196"/>
      <c r="M42" s="216"/>
      <c r="N42" s="216"/>
      <c r="O42" s="216"/>
      <c r="P42" s="216"/>
    </row>
    <row r="43" spans="1:16" s="290" customFormat="1" ht="14.25" x14ac:dyDescent="0.3">
      <c r="A43" s="291" t="s">
        <v>162</v>
      </c>
      <c r="B43" s="292" t="s">
        <v>81</v>
      </c>
      <c r="C43" s="281">
        <v>43381</v>
      </c>
      <c r="D43" s="281">
        <v>43413</v>
      </c>
      <c r="E43" s="280">
        <v>3720</v>
      </c>
      <c r="F43" s="282">
        <v>466.14</v>
      </c>
      <c r="G43" s="283">
        <v>0</v>
      </c>
      <c r="H43" s="284" t="s">
        <v>135</v>
      </c>
      <c r="I43" s="293">
        <v>1749190</v>
      </c>
      <c r="J43" s="286"/>
      <c r="K43" s="287"/>
      <c r="L43" s="286"/>
      <c r="M43" s="289" t="s">
        <v>265</v>
      </c>
      <c r="N43" s="289"/>
      <c r="O43" s="289"/>
      <c r="P43" s="289"/>
    </row>
    <row r="44" spans="1:16" s="217" customFormat="1" ht="14.25" x14ac:dyDescent="0.3">
      <c r="A44" s="227" t="s">
        <v>163</v>
      </c>
      <c r="B44" s="187" t="s">
        <v>83</v>
      </c>
      <c r="C44" s="181">
        <v>43389</v>
      </c>
      <c r="D44" s="181">
        <v>43420</v>
      </c>
      <c r="E44" s="180">
        <v>9180</v>
      </c>
      <c r="F44" s="182">
        <v>432.2</v>
      </c>
      <c r="G44" s="185">
        <v>0</v>
      </c>
      <c r="H44" s="183" t="s">
        <v>135</v>
      </c>
      <c r="I44" s="214">
        <v>4006560</v>
      </c>
      <c r="J44" s="220"/>
      <c r="K44" s="215"/>
      <c r="L44" s="196"/>
      <c r="M44" s="216"/>
      <c r="N44" s="216"/>
      <c r="O44" s="216"/>
      <c r="P44" s="216"/>
    </row>
    <row r="45" spans="1:16" s="217" customFormat="1" ht="14.25" x14ac:dyDescent="0.3">
      <c r="A45" s="178" t="s">
        <v>196</v>
      </c>
      <c r="B45" s="187" t="s">
        <v>85</v>
      </c>
      <c r="C45" s="181">
        <v>43397</v>
      </c>
      <c r="D45" s="181">
        <v>43427</v>
      </c>
      <c r="E45" s="180">
        <v>7200</v>
      </c>
      <c r="F45" s="182">
        <v>432.2</v>
      </c>
      <c r="G45" s="185">
        <v>0</v>
      </c>
      <c r="H45" s="183" t="s">
        <v>135</v>
      </c>
      <c r="I45" s="214">
        <v>3529200</v>
      </c>
      <c r="J45" s="196"/>
      <c r="K45" s="215"/>
      <c r="L45" s="188"/>
      <c r="M45" s="216"/>
      <c r="N45" s="216"/>
      <c r="O45" s="216"/>
      <c r="P45" s="216"/>
    </row>
    <row r="46" spans="1:16" s="217" customFormat="1" ht="14.25" x14ac:dyDescent="0.3">
      <c r="A46" s="178" t="s">
        <v>166</v>
      </c>
      <c r="B46" s="179" t="s">
        <v>89</v>
      </c>
      <c r="C46" s="181">
        <v>43362</v>
      </c>
      <c r="D46" s="181">
        <v>43392</v>
      </c>
      <c r="E46" s="180">
        <v>13040</v>
      </c>
      <c r="F46" s="182">
        <v>457.24</v>
      </c>
      <c r="G46" s="185">
        <v>0</v>
      </c>
      <c r="H46" s="183" t="s">
        <v>135</v>
      </c>
      <c r="I46" s="214">
        <v>5962410</v>
      </c>
      <c r="J46" s="142"/>
      <c r="K46" s="215"/>
      <c r="L46" s="188"/>
      <c r="M46" s="216"/>
      <c r="N46" s="216"/>
      <c r="O46" s="216"/>
      <c r="P46" s="216"/>
    </row>
    <row r="47" spans="1:16" s="217" customFormat="1" ht="14.25" x14ac:dyDescent="0.3">
      <c r="A47" s="178" t="s">
        <v>167</v>
      </c>
      <c r="B47" s="179" t="s">
        <v>91</v>
      </c>
      <c r="C47" s="181">
        <v>43397</v>
      </c>
      <c r="D47" s="181">
        <v>43427</v>
      </c>
      <c r="E47" s="180">
        <v>8560</v>
      </c>
      <c r="F47" s="182">
        <v>432.2</v>
      </c>
      <c r="G47" s="185">
        <v>0</v>
      </c>
      <c r="H47" s="183" t="s">
        <v>135</v>
      </c>
      <c r="I47" s="214">
        <v>3699640</v>
      </c>
      <c r="J47" s="196"/>
      <c r="K47" s="215"/>
      <c r="L47" s="142"/>
      <c r="M47" s="216"/>
      <c r="N47" s="216"/>
      <c r="O47" s="216"/>
      <c r="P47" s="216"/>
    </row>
    <row r="48" spans="1:16" s="217" customFormat="1" ht="14.25" x14ac:dyDescent="0.3">
      <c r="A48" s="178" t="s">
        <v>168</v>
      </c>
      <c r="B48" s="179" t="s">
        <v>93</v>
      </c>
      <c r="C48" s="181">
        <v>43393</v>
      </c>
      <c r="D48" s="181">
        <v>43425</v>
      </c>
      <c r="E48" s="180">
        <v>5545</v>
      </c>
      <c r="F48" s="182">
        <v>432.2</v>
      </c>
      <c r="G48" s="185">
        <v>0</v>
      </c>
      <c r="H48" s="183" t="s">
        <v>135</v>
      </c>
      <c r="I48" s="214">
        <v>2422530</v>
      </c>
      <c r="J48" s="196"/>
      <c r="K48" s="215"/>
      <c r="L48" s="142"/>
      <c r="M48" s="216"/>
      <c r="N48" s="216"/>
      <c r="O48" s="216"/>
      <c r="P48" s="216"/>
    </row>
    <row r="49" spans="1:16" s="217" customFormat="1" ht="14.25" x14ac:dyDescent="0.3">
      <c r="A49" s="178" t="s">
        <v>169</v>
      </c>
      <c r="B49" s="179" t="s">
        <v>95</v>
      </c>
      <c r="C49" s="181">
        <v>43396</v>
      </c>
      <c r="D49" s="181">
        <v>43427</v>
      </c>
      <c r="E49" s="180">
        <v>7840</v>
      </c>
      <c r="F49" s="182">
        <v>432.2</v>
      </c>
      <c r="G49" s="185">
        <v>0</v>
      </c>
      <c r="H49" s="183" t="s">
        <v>135</v>
      </c>
      <c r="I49" s="214">
        <v>3422860</v>
      </c>
      <c r="J49" s="196"/>
      <c r="K49" s="215"/>
      <c r="L49" s="228"/>
      <c r="M49" s="216"/>
      <c r="N49" s="216"/>
      <c r="O49" s="216"/>
      <c r="P49" s="216"/>
    </row>
    <row r="50" spans="1:16" s="217" customFormat="1" ht="14.25" x14ac:dyDescent="0.3">
      <c r="A50" s="178" t="s">
        <v>170</v>
      </c>
      <c r="B50" s="179" t="s">
        <v>97</v>
      </c>
      <c r="C50" s="181" t="s">
        <v>171</v>
      </c>
      <c r="D50" s="181" t="s">
        <v>171</v>
      </c>
      <c r="E50" s="180">
        <v>0</v>
      </c>
      <c r="F50" s="182">
        <v>0</v>
      </c>
      <c r="G50" s="185">
        <v>0</v>
      </c>
      <c r="H50" s="181" t="s">
        <v>171</v>
      </c>
      <c r="I50" s="214"/>
      <c r="J50" s="177"/>
      <c r="K50" s="215"/>
      <c r="L50" s="228"/>
      <c r="M50" s="216"/>
      <c r="N50" s="216"/>
      <c r="O50" s="216"/>
      <c r="P50" s="216"/>
    </row>
    <row r="51" spans="1:16" s="217" customFormat="1" ht="14.25" x14ac:dyDescent="0.3">
      <c r="A51" s="178" t="s">
        <v>172</v>
      </c>
      <c r="B51" s="187" t="s">
        <v>100</v>
      </c>
      <c r="C51" s="181">
        <v>43392</v>
      </c>
      <c r="D51" s="181">
        <v>43425</v>
      </c>
      <c r="E51" s="180">
        <v>7360</v>
      </c>
      <c r="F51" s="182">
        <v>432.2</v>
      </c>
      <c r="G51" s="185">
        <v>0</v>
      </c>
      <c r="H51" s="264" t="s">
        <v>135</v>
      </c>
      <c r="I51" s="214">
        <v>3214400</v>
      </c>
      <c r="J51" s="196"/>
      <c r="K51" s="215"/>
      <c r="L51" s="142"/>
      <c r="M51" s="216"/>
      <c r="N51" s="216"/>
      <c r="O51" s="216"/>
      <c r="P51" s="216"/>
    </row>
    <row r="52" spans="1:16" s="217" customFormat="1" ht="14.25" x14ac:dyDescent="0.3">
      <c r="A52" s="178" t="s">
        <v>173</v>
      </c>
      <c r="B52" s="179" t="s">
        <v>102</v>
      </c>
      <c r="C52" s="181">
        <v>43383</v>
      </c>
      <c r="D52" s="181">
        <v>43414</v>
      </c>
      <c r="E52" s="180">
        <v>2437</v>
      </c>
      <c r="F52" s="182">
        <v>466.14</v>
      </c>
      <c r="G52" s="185">
        <v>0</v>
      </c>
      <c r="H52" s="183" t="s">
        <v>135</v>
      </c>
      <c r="I52" s="214">
        <v>1147460</v>
      </c>
      <c r="J52" s="142"/>
      <c r="K52" s="215"/>
      <c r="L52" s="196"/>
      <c r="M52" s="216"/>
      <c r="N52" s="216"/>
      <c r="O52" s="216"/>
      <c r="P52" s="216"/>
    </row>
    <row r="53" spans="1:16" s="217" customFormat="1" ht="14.25" x14ac:dyDescent="0.3">
      <c r="A53" s="178" t="s">
        <v>174</v>
      </c>
      <c r="B53" s="179" t="s">
        <v>104</v>
      </c>
      <c r="C53" s="181">
        <v>43392</v>
      </c>
      <c r="D53" s="181">
        <v>43425</v>
      </c>
      <c r="E53" s="180">
        <v>8400</v>
      </c>
      <c r="F53" s="182">
        <v>466.14</v>
      </c>
      <c r="G53" s="185">
        <v>0</v>
      </c>
      <c r="H53" s="183" t="s">
        <v>135</v>
      </c>
      <c r="I53" s="214">
        <v>3951670</v>
      </c>
      <c r="J53" s="196"/>
      <c r="K53" s="215"/>
      <c r="L53" s="196"/>
      <c r="M53" s="216"/>
      <c r="N53" s="216"/>
      <c r="O53" s="216"/>
      <c r="P53" s="216"/>
    </row>
    <row r="54" spans="1:16" s="217" customFormat="1" ht="14.25" x14ac:dyDescent="0.3">
      <c r="A54" s="178" t="s">
        <v>175</v>
      </c>
      <c r="B54" s="179" t="s">
        <v>106</v>
      </c>
      <c r="C54" s="181">
        <v>43390</v>
      </c>
      <c r="D54" s="181">
        <v>43421</v>
      </c>
      <c r="E54" s="180">
        <v>2584</v>
      </c>
      <c r="F54" s="182">
        <v>466.14</v>
      </c>
      <c r="G54" s="185">
        <v>0</v>
      </c>
      <c r="H54" s="183" t="s">
        <v>135</v>
      </c>
      <c r="I54" s="214">
        <v>1215630</v>
      </c>
      <c r="J54" s="196"/>
      <c r="K54" s="215"/>
      <c r="L54" s="142"/>
      <c r="M54" s="216"/>
      <c r="N54" s="216"/>
      <c r="O54" s="216"/>
      <c r="P54" s="216"/>
    </row>
    <row r="55" spans="1:16" s="217" customFormat="1" ht="14.25" x14ac:dyDescent="0.3">
      <c r="A55" s="178" t="s">
        <v>176</v>
      </c>
      <c r="B55" s="179" t="s">
        <v>108</v>
      </c>
      <c r="C55" s="181">
        <v>43392</v>
      </c>
      <c r="D55" s="181">
        <v>43424</v>
      </c>
      <c r="E55" s="180">
        <v>4983</v>
      </c>
      <c r="F55" s="182">
        <v>432.2</v>
      </c>
      <c r="G55" s="185">
        <v>0</v>
      </c>
      <c r="H55" s="183" t="s">
        <v>135</v>
      </c>
      <c r="I55" s="214">
        <v>2180080</v>
      </c>
      <c r="J55" s="196"/>
      <c r="K55" s="215"/>
      <c r="L55" s="142"/>
      <c r="M55" s="216"/>
      <c r="N55" s="216"/>
      <c r="O55" s="216"/>
      <c r="P55" s="216"/>
    </row>
    <row r="56" spans="1:16" s="217" customFormat="1" ht="14.25" x14ac:dyDescent="0.3">
      <c r="A56" s="178" t="s">
        <v>177</v>
      </c>
      <c r="B56" s="179" t="s">
        <v>110</v>
      </c>
      <c r="C56" s="181">
        <v>43392</v>
      </c>
      <c r="D56" s="181">
        <v>43425</v>
      </c>
      <c r="E56" s="180">
        <v>7920</v>
      </c>
      <c r="F56" s="182">
        <v>432.2</v>
      </c>
      <c r="G56" s="185">
        <v>0</v>
      </c>
      <c r="H56" s="183" t="s">
        <v>135</v>
      </c>
      <c r="I56" s="214">
        <v>3455750</v>
      </c>
      <c r="J56" s="196"/>
      <c r="K56" s="215"/>
      <c r="L56" s="196"/>
      <c r="M56" s="216"/>
      <c r="N56" s="216"/>
      <c r="O56" s="216"/>
      <c r="P56" s="216"/>
    </row>
    <row r="57" spans="1:16" s="217" customFormat="1" ht="14.25" x14ac:dyDescent="0.3">
      <c r="A57" s="178" t="s">
        <v>178</v>
      </c>
      <c r="B57" s="179" t="s">
        <v>112</v>
      </c>
      <c r="C57" s="181">
        <v>43395</v>
      </c>
      <c r="D57" s="181">
        <v>43426</v>
      </c>
      <c r="E57" s="180">
        <v>1690</v>
      </c>
      <c r="F57" s="182">
        <v>466.14</v>
      </c>
      <c r="G57" s="185">
        <v>0</v>
      </c>
      <c r="H57" s="183" t="s">
        <v>135</v>
      </c>
      <c r="I57" s="214">
        <v>794670</v>
      </c>
      <c r="J57" s="188"/>
      <c r="K57" s="215"/>
      <c r="L57" s="188"/>
      <c r="M57" s="216"/>
      <c r="N57" s="216"/>
      <c r="O57" s="216"/>
      <c r="P57" s="216"/>
    </row>
    <row r="58" spans="1:16" s="217" customFormat="1" ht="14.25" x14ac:dyDescent="0.3">
      <c r="A58" s="178" t="s">
        <v>179</v>
      </c>
      <c r="B58" s="179" t="s">
        <v>114</v>
      </c>
      <c r="C58" s="181">
        <v>43396</v>
      </c>
      <c r="D58" s="181">
        <v>43427</v>
      </c>
      <c r="E58" s="180">
        <v>6160</v>
      </c>
      <c r="F58" s="182">
        <v>432.2</v>
      </c>
      <c r="G58" s="185">
        <v>0</v>
      </c>
      <c r="H58" s="183" t="s">
        <v>135</v>
      </c>
      <c r="I58" s="214">
        <v>2693390</v>
      </c>
      <c r="J58" s="142"/>
      <c r="K58" s="215"/>
      <c r="L58" s="188"/>
      <c r="M58" s="216"/>
      <c r="N58" s="216"/>
      <c r="O58" s="216"/>
      <c r="P58" s="216"/>
    </row>
    <row r="59" spans="1:16" s="290" customFormat="1" ht="14.25" x14ac:dyDescent="0.3">
      <c r="A59" s="278" t="s">
        <v>217</v>
      </c>
      <c r="B59" s="279" t="s">
        <v>218</v>
      </c>
      <c r="C59" s="281">
        <v>43396</v>
      </c>
      <c r="D59" s="281">
        <v>43427</v>
      </c>
      <c r="E59" s="280">
        <v>2580</v>
      </c>
      <c r="F59" s="282">
        <v>360.98</v>
      </c>
      <c r="G59" s="283">
        <v>0</v>
      </c>
      <c r="H59" s="281" t="s">
        <v>266</v>
      </c>
      <c r="I59" s="293">
        <v>2316210</v>
      </c>
      <c r="J59" s="296"/>
      <c r="K59" s="287"/>
      <c r="L59" s="297"/>
      <c r="M59" s="289"/>
      <c r="N59" s="289"/>
      <c r="O59" s="289"/>
      <c r="P59" s="289"/>
    </row>
    <row r="60" spans="1:16" s="217" customFormat="1" ht="14.25" x14ac:dyDescent="0.3">
      <c r="A60" s="178" t="s">
        <v>227</v>
      </c>
      <c r="B60" s="179" t="s">
        <v>228</v>
      </c>
      <c r="C60" s="181">
        <v>43393</v>
      </c>
      <c r="D60" s="181">
        <v>43425</v>
      </c>
      <c r="E60" s="180">
        <v>13640</v>
      </c>
      <c r="F60" s="182">
        <v>360.98</v>
      </c>
      <c r="G60" s="185">
        <v>0</v>
      </c>
      <c r="H60" s="183" t="s">
        <v>135</v>
      </c>
      <c r="I60" s="224">
        <v>5519520</v>
      </c>
      <c r="J60" s="196"/>
      <c r="K60" s="215"/>
      <c r="L60" s="220"/>
      <c r="M60" s="216"/>
      <c r="N60" s="216"/>
      <c r="O60" s="216"/>
      <c r="P60" s="216"/>
    </row>
    <row r="61" spans="1:16" s="217" customFormat="1" ht="14.25" customHeight="1" x14ac:dyDescent="0.3">
      <c r="A61" s="274" t="s">
        <v>198</v>
      </c>
      <c r="B61" s="274" t="s">
        <v>4</v>
      </c>
      <c r="C61" s="373" t="s">
        <v>6</v>
      </c>
      <c r="D61" s="373"/>
      <c r="E61" s="275" t="s">
        <v>7</v>
      </c>
      <c r="F61" s="275" t="s">
        <v>132</v>
      </c>
      <c r="G61" s="274" t="s">
        <v>133</v>
      </c>
      <c r="H61" s="274" t="s">
        <v>134</v>
      </c>
      <c r="I61" s="276" t="s">
        <v>11</v>
      </c>
      <c r="J61" s="277"/>
      <c r="K61" s="277"/>
      <c r="L61" s="216"/>
      <c r="M61" s="216"/>
      <c r="N61" s="216"/>
      <c r="O61" s="216"/>
      <c r="P61" s="216"/>
    </row>
    <row r="62" spans="1:16" s="217" customFormat="1" ht="14.25" x14ac:dyDescent="0.3">
      <c r="A62" s="178" t="s">
        <v>149</v>
      </c>
      <c r="B62" s="179" t="s">
        <v>55</v>
      </c>
      <c r="C62" s="181">
        <v>43393</v>
      </c>
      <c r="D62" s="181">
        <v>43423</v>
      </c>
      <c r="E62" s="180">
        <v>0</v>
      </c>
      <c r="F62" s="182">
        <v>466.14</v>
      </c>
      <c r="G62" s="185">
        <v>0</v>
      </c>
      <c r="H62" s="183" t="s">
        <v>135</v>
      </c>
      <c r="I62" s="229">
        <v>760</v>
      </c>
      <c r="J62" s="196"/>
      <c r="K62" s="215"/>
      <c r="L62" s="196"/>
      <c r="M62" s="216" t="s">
        <v>267</v>
      </c>
      <c r="N62" s="216"/>
      <c r="O62" s="216"/>
      <c r="P62" s="216"/>
    </row>
    <row r="63" spans="1:16" s="217" customFormat="1" ht="14.25" x14ac:dyDescent="0.3">
      <c r="A63" s="178" t="s">
        <v>150</v>
      </c>
      <c r="B63" s="179" t="s">
        <v>57</v>
      </c>
      <c r="C63" s="181">
        <v>43393</v>
      </c>
      <c r="D63" s="181">
        <v>43423</v>
      </c>
      <c r="E63" s="180">
        <v>0</v>
      </c>
      <c r="F63" s="182">
        <v>0</v>
      </c>
      <c r="G63" s="185">
        <v>0</v>
      </c>
      <c r="H63" s="183" t="s">
        <v>135</v>
      </c>
      <c r="I63" s="229">
        <v>0</v>
      </c>
      <c r="J63" s="188"/>
      <c r="K63" s="215"/>
      <c r="L63" s="188"/>
      <c r="M63" s="216"/>
      <c r="N63" s="216"/>
      <c r="O63" s="216"/>
      <c r="P63" s="216"/>
    </row>
    <row r="64" spans="1:16" s="27" customFormat="1" ht="14.25" x14ac:dyDescent="0.3">
      <c r="A64" s="37" t="s">
        <v>165</v>
      </c>
      <c r="B64" s="49" t="s">
        <v>87</v>
      </c>
      <c r="C64" s="40">
        <v>43333</v>
      </c>
      <c r="D64" s="40">
        <v>43362</v>
      </c>
      <c r="E64" s="39">
        <v>0</v>
      </c>
      <c r="F64" s="41">
        <v>0</v>
      </c>
      <c r="G64" s="109">
        <v>0</v>
      </c>
      <c r="H64" s="43" t="s">
        <v>136</v>
      </c>
      <c r="I64" s="230">
        <v>0</v>
      </c>
      <c r="J64" s="141"/>
      <c r="K64" s="231"/>
      <c r="L64" s="141"/>
      <c r="M64" s="208"/>
      <c r="N64" s="208"/>
      <c r="O64" s="208"/>
      <c r="P64" s="208"/>
    </row>
    <row r="65" spans="1:17" s="27" customFormat="1" ht="15" customHeight="1" x14ac:dyDescent="0.3">
      <c r="A65" s="37"/>
      <c r="B65" s="38"/>
      <c r="C65" s="40"/>
      <c r="D65" s="40"/>
      <c r="E65" s="232">
        <f>SUM(E10:E64)</f>
        <v>883389</v>
      </c>
      <c r="F65" s="232">
        <f>SUM(E10:E60)</f>
        <v>883389</v>
      </c>
      <c r="G65" s="233"/>
      <c r="H65" s="234"/>
      <c r="I65" s="235"/>
      <c r="J65" s="252"/>
      <c r="K65" s="252"/>
      <c r="L65" s="236"/>
      <c r="M65" s="237"/>
      <c r="N65" s="237"/>
      <c r="O65" s="237"/>
      <c r="P65" s="208"/>
    </row>
    <row r="66" spans="1:17" s="27" customFormat="1" ht="15" customHeight="1" x14ac:dyDescent="0.3">
      <c r="A66" s="365"/>
      <c r="B66" s="365"/>
      <c r="C66" s="365"/>
      <c r="D66" s="365"/>
      <c r="E66" s="238"/>
      <c r="F66" s="208"/>
      <c r="G66" s="366" t="s">
        <v>200</v>
      </c>
      <c r="H66" s="366"/>
      <c r="I66" s="239">
        <f>SUM(I10:I60)</f>
        <v>371764940</v>
      </c>
      <c r="J66" s="252"/>
      <c r="K66" s="252"/>
      <c r="L66" s="208"/>
      <c r="M66" s="208"/>
      <c r="N66" s="208"/>
      <c r="O66" s="208"/>
      <c r="P66" s="208"/>
      <c r="Q66" s="208"/>
    </row>
    <row r="67" spans="1:17" s="27" customFormat="1" ht="15" customHeight="1" x14ac:dyDescent="0.3">
      <c r="A67" s="365"/>
      <c r="B67" s="365"/>
      <c r="C67" s="365"/>
      <c r="D67" s="365"/>
      <c r="E67" s="238"/>
      <c r="F67" s="208"/>
      <c r="G67" s="366" t="s">
        <v>201</v>
      </c>
      <c r="H67" s="366"/>
      <c r="I67" s="239">
        <f>SUM(I62:I64)</f>
        <v>760</v>
      </c>
      <c r="J67" s="252"/>
      <c r="K67" s="252"/>
      <c r="L67" s="208"/>
      <c r="M67" s="208"/>
      <c r="N67" s="208"/>
      <c r="O67" s="208"/>
      <c r="P67" s="208"/>
      <c r="Q67" s="208"/>
    </row>
    <row r="68" spans="1:17" s="27" customFormat="1" ht="15" customHeight="1" x14ac:dyDescent="0.3">
      <c r="A68" s="365"/>
      <c r="B68" s="365"/>
      <c r="C68" s="365"/>
      <c r="D68" s="365"/>
      <c r="E68" s="238"/>
      <c r="F68" s="240"/>
      <c r="G68" s="240"/>
      <c r="H68" s="240"/>
      <c r="I68" s="241"/>
      <c r="J68" s="252"/>
      <c r="K68" s="252"/>
      <c r="L68" s="208"/>
      <c r="M68" s="208"/>
      <c r="N68" s="208"/>
      <c r="O68" s="208"/>
      <c r="P68" s="208"/>
      <c r="Q68" s="208"/>
    </row>
    <row r="69" spans="1:17" s="27" customFormat="1" ht="15" customHeight="1" x14ac:dyDescent="0.3">
      <c r="A69" s="365"/>
      <c r="B69" s="365"/>
      <c r="C69" s="365"/>
      <c r="D69" s="365"/>
      <c r="E69" s="238"/>
      <c r="F69" s="208"/>
      <c r="G69" s="367" t="s">
        <v>203</v>
      </c>
      <c r="H69" s="367"/>
      <c r="I69" s="242">
        <f>SUM(I66:I67)</f>
        <v>371765700</v>
      </c>
      <c r="J69" s="252"/>
      <c r="K69" s="252"/>
      <c r="L69" s="208"/>
      <c r="M69" s="208"/>
      <c r="N69" s="208"/>
      <c r="O69" s="208"/>
      <c r="P69" s="208"/>
      <c r="Q69" s="208"/>
    </row>
    <row r="70" spans="1:17" s="27" customFormat="1" ht="15" customHeight="1" x14ac:dyDescent="0.3">
      <c r="A70" s="208"/>
      <c r="B70" s="243"/>
      <c r="C70" s="243"/>
      <c r="D70" s="252"/>
      <c r="E70" s="244"/>
      <c r="F70" s="208"/>
      <c r="G70" s="208"/>
      <c r="H70" s="208"/>
      <c r="I70" s="208"/>
      <c r="J70" s="252"/>
      <c r="K70" s="252"/>
      <c r="L70" s="208"/>
      <c r="M70" s="208"/>
      <c r="N70" s="208"/>
      <c r="O70" s="208"/>
      <c r="P70" s="208"/>
      <c r="Q70" s="208"/>
    </row>
    <row r="71" spans="1:17" s="27" customFormat="1" ht="15" customHeight="1" x14ac:dyDescent="0.3">
      <c r="A71" s="208"/>
      <c r="B71" s="243"/>
      <c r="C71" s="244"/>
      <c r="D71" s="244"/>
      <c r="E71" s="245"/>
      <c r="F71" s="208"/>
      <c r="G71" s="356" t="s">
        <v>244</v>
      </c>
      <c r="H71" s="356"/>
      <c r="I71" s="356"/>
      <c r="J71" s="252"/>
      <c r="K71" s="252"/>
      <c r="L71" s="208"/>
      <c r="M71" s="208"/>
      <c r="N71" s="208"/>
      <c r="O71" s="208"/>
      <c r="P71" s="208"/>
      <c r="Q71" s="208"/>
    </row>
    <row r="72" spans="1:17" s="27" customFormat="1" ht="14.25" x14ac:dyDescent="0.3">
      <c r="A72" s="208"/>
      <c r="B72" s="208"/>
      <c r="C72" s="244"/>
      <c r="D72" s="244"/>
      <c r="E72" s="246"/>
      <c r="F72" s="246"/>
      <c r="G72" s="208"/>
      <c r="H72" s="208"/>
      <c r="I72" s="208"/>
      <c r="J72" s="252"/>
      <c r="K72" s="252"/>
      <c r="L72" s="208"/>
      <c r="M72" s="208"/>
      <c r="N72" s="208"/>
      <c r="O72" s="208"/>
      <c r="P72" s="208"/>
      <c r="Q72" s="208"/>
    </row>
    <row r="73" spans="1:17" s="27" customFormat="1" ht="14.25" x14ac:dyDescent="0.3">
      <c r="A73" s="208" t="s">
        <v>185</v>
      </c>
      <c r="B73" s="243"/>
      <c r="C73" s="247"/>
      <c r="D73" s="247"/>
      <c r="E73" s="247"/>
      <c r="F73" s="247"/>
      <c r="G73" s="368" t="s">
        <v>245</v>
      </c>
      <c r="H73" s="368"/>
      <c r="I73" s="248">
        <v>344822570</v>
      </c>
      <c r="J73" s="252"/>
      <c r="K73" s="252"/>
      <c r="L73" s="208"/>
      <c r="M73" s="208"/>
      <c r="N73" s="208"/>
      <c r="O73" s="208"/>
      <c r="P73" s="208"/>
      <c r="Q73" s="208"/>
    </row>
    <row r="74" spans="1:17" s="27" customFormat="1" ht="15.75" x14ac:dyDescent="0.3">
      <c r="A74" s="249" t="s">
        <v>252</v>
      </c>
      <c r="B74" s="247"/>
      <c r="C74" s="247"/>
      <c r="D74" s="247"/>
      <c r="E74" s="247"/>
      <c r="F74" s="247"/>
      <c r="G74" s="369" t="s">
        <v>246</v>
      </c>
      <c r="H74" s="369"/>
      <c r="I74" s="250">
        <f>+(I69-I73)/I73</f>
        <v>7.8136213647499925E-2</v>
      </c>
      <c r="J74" s="252"/>
      <c r="K74" s="252"/>
      <c r="L74" s="208"/>
      <c r="M74" s="208"/>
      <c r="N74" s="208"/>
      <c r="O74" s="208"/>
      <c r="P74" s="208"/>
      <c r="Q74" s="208"/>
    </row>
    <row r="75" spans="1:17" s="27" customFormat="1" ht="14.25" x14ac:dyDescent="0.3">
      <c r="A75" s="251" t="s">
        <v>187</v>
      </c>
      <c r="B75" s="247"/>
      <c r="C75" s="208"/>
      <c r="D75" s="208"/>
      <c r="E75" s="208"/>
      <c r="F75" s="208"/>
      <c r="G75" s="370" t="s">
        <v>247</v>
      </c>
      <c r="H75" s="370"/>
      <c r="I75" s="253">
        <f>+I69-I73</f>
        <v>26943130</v>
      </c>
      <c r="J75" s="252"/>
      <c r="K75" s="252"/>
      <c r="L75" s="208"/>
      <c r="M75" s="208"/>
      <c r="N75" s="208"/>
      <c r="O75" s="208"/>
      <c r="P75" s="208"/>
      <c r="Q75" s="208"/>
    </row>
    <row r="76" spans="1:17" x14ac:dyDescent="0.25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</row>
  </sheetData>
  <mergeCells count="26">
    <mergeCell ref="A2:I3"/>
    <mergeCell ref="C4:D4"/>
    <mergeCell ref="F4:I4"/>
    <mergeCell ref="C5:D5"/>
    <mergeCell ref="E5:E6"/>
    <mergeCell ref="G5:I5"/>
    <mergeCell ref="C6:D6"/>
    <mergeCell ref="G6:I6"/>
    <mergeCell ref="J8:J9"/>
    <mergeCell ref="K8:K9"/>
    <mergeCell ref="L8:L9"/>
    <mergeCell ref="C61:D61"/>
    <mergeCell ref="A66:D69"/>
    <mergeCell ref="G66:H66"/>
    <mergeCell ref="G67:H67"/>
    <mergeCell ref="G69:H69"/>
    <mergeCell ref="A8:A9"/>
    <mergeCell ref="B8:B9"/>
    <mergeCell ref="C8:D8"/>
    <mergeCell ref="G8:G9"/>
    <mergeCell ref="H8:H9"/>
    <mergeCell ref="G71:I71"/>
    <mergeCell ref="G73:H73"/>
    <mergeCell ref="G74:H74"/>
    <mergeCell ref="G75:H75"/>
    <mergeCell ref="I8:I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 2018</vt:lpstr>
      <vt:lpstr>FEBRERO 2018 </vt:lpstr>
      <vt:lpstr>MARZO 2018</vt:lpstr>
      <vt:lpstr>ABRIL 2018</vt:lpstr>
      <vt:lpstr>MAYO 2018</vt:lpstr>
      <vt:lpstr>JUNIO 2018</vt:lpstr>
      <vt:lpstr>JULIO 2018</vt:lpstr>
      <vt:lpstr>AGOSTO 2018</vt:lpstr>
      <vt:lpstr>SEPTIEMBRE 2018</vt:lpstr>
      <vt:lpstr>OCTUBRE 2018</vt:lpstr>
      <vt:lpstr>NOVIEMBRE 2018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HNZAMBI</dc:creator>
  <cp:lastModifiedBy>Ibelice Esther Gonzalez Moreno</cp:lastModifiedBy>
  <dcterms:created xsi:type="dcterms:W3CDTF">2018-12-20T16:04:26Z</dcterms:created>
  <dcterms:modified xsi:type="dcterms:W3CDTF">2021-05-06T14:58:22Z</dcterms:modified>
</cp:coreProperties>
</file>